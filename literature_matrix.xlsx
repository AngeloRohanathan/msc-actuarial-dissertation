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9939ece51f14322" /></Relationships>
</file>

<file path=xl/workbook.xml><?xml version="1.0" encoding="utf-8"?>
<x:workbook xmlns:x="http://schemas.openxmlformats.org/spreadsheetml/2006/main">
  <x:sheets>
    <x:sheet xmlns:r="http://schemas.openxmlformats.org/officeDocument/2006/relationships" name="Dashboard" sheetId="1" r:id="Rb5f4be126c994424"/>
    <x:sheet xmlns:r="http://schemas.openxmlformats.org/officeDocument/2006/relationships" name="Literature Matrix" sheetId="2" r:id="R8a21878e4ad048e7"/>
    <x:sheet xmlns:r="http://schemas.openxmlformats.org/officeDocument/2006/relationships" name="Reading Plan" sheetId="3" r:id="R50fb506f37654a9d"/>
    <x:sheet xmlns:r="http://schemas.openxmlformats.org/officeDocument/2006/relationships" name="BibTeX" sheetId="4" r:id="R7d0ac23885034e73"/>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1"/>
      <x:color rgb="FFFFFFFF"/>
      <x:name val="Carlito"/>
    </x:font>
    <x:font>
      <x:sz val="10"/>
      <x:color rgb="FF1F2933"/>
      <x:name val="Carlito"/>
    </x:font>
    <x:font>
      <x:sz val="9"/>
      <x:color rgb="FF1F2933"/>
      <x:name val="Consolas"/>
    </x:font>
    <x:font>
      <x:b/>
      <x:sz val="18"/>
      <x:color rgb="FFFFFFFF"/>
      <x:name val="Carlito"/>
    </x:font>
    <x:font>
      <x:b/>
      <x:sz val="11"/>
      <x:color rgb="FF1F2933"/>
      <x:name val="Carlito"/>
    </x:font>
    <x:font>
      <x:b/>
      <x:sz val="14"/>
      <x:color rgb="FF17324D"/>
      <x:name val="Carlito"/>
    </x:font>
    <x:font>
      <x:b/>
      <x:sz val="11"/>
      <x:name val="Carlito"/>
    </x:font>
    <x:font>
      <x:b/>
      <x:sz val="11"/>
      <x:color rgb="FF2F641C"/>
      <x:name val="Carlito"/>
    </x:font>
    <x:font>
      <x:sz val="11"/>
      <x:color rgb="FF1F2933"/>
      <x:name val="Carlito"/>
    </x:font>
  </x:fonts>
  <x:fills count="8">
    <x:fill>
      <x:patternFill patternType="none"/>
    </x:fill>
    <x:fill>
      <x:patternFill patternType="gray125"/>
    </x:fill>
    <x:fill>
      <x:patternFill patternType="solid">
        <x:fgColor rgb="FF17324D"/>
      </x:patternFill>
    </x:fill>
    <x:fill>
      <x:patternFill patternType="solid">
        <x:fgColor rgb="FF1F6D73"/>
      </x:patternFill>
    </x:fill>
    <x:fill>
      <x:patternFill patternType="solid">
        <x:fgColor rgb="FFF3F5F7"/>
      </x:patternFill>
    </x:fill>
    <x:fill>
      <x:patternFill patternType="solid">
        <x:fgColor rgb="FFDCEFF0"/>
      </x:patternFill>
    </x:fill>
    <x:fill>
      <x:patternFill patternType="solid">
        <x:fgColor rgb="FFE2F0D9"/>
      </x:patternFill>
    </x:fill>
    <x:fill>
      <x:patternFill patternType="solid">
        <x:fgColor rgb="FFE7EFF8"/>
      </x:patternFill>
    </x:fill>
  </x:fills>
  <x:borders count="18">
    <x:border/>
    <x:border/>
    <x:border>
      <x:left/>
      <x:top/>
    </x:border>
    <x:border>
      <x:right/>
      <x:top/>
    </x:border>
    <x:border>
      <x:left/>
    </x:border>
    <x:border>
      <x:right/>
    </x:border>
    <x:border>
      <x:left/>
      <x:bottom/>
    </x:border>
    <x:border>
      <x:right/>
      <x:bottom/>
    </x:border>
    <x:border>
      <x:left/>
      <x:top/>
    </x:border>
    <x:border>
      <x:right/>
      <x:top/>
    </x:border>
    <x:border>
      <x:left/>
    </x:border>
    <x:border>
      <x:right/>
    </x:border>
    <x:border>
      <x:left/>
      <x:bottom/>
    </x:border>
    <x:border>
      <x:right/>
      <x:bottom/>
    </x:border>
    <x:border>
      <x:top/>
    </x:border>
    <x:border>
      <x:bottom/>
    </x:border>
    <x:border>
      <x:top/>
    </x:border>
    <x:border>
      <x:bottom/>
    </x:border>
  </x:borders>
  <x:cellStyleXfs count="1">
    <x:xf numFmtId="0" fontId="0" fillId="0" borderId="0"/>
  </x:cellStyleXfs>
  <x:cellXfs count="1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0" fontId="2" fillId="0" borderId="1" xfId="0" applyNumberFormat="1" applyFont="1" applyFill="1" applyBorder="1" applyAlignment="1">
      <x:alignment horizontal="center"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4" fillId="2" borderId="1" xfId="0" applyNumberFormat="1" applyFont="1" applyFill="1" applyBorder="1" applyAlignment="1">
      <x:alignment horizontal="center" vertical="center"/>
    </x:xf>
    <x:xf numFmtId="0" fontId="1" fillId="3" borderId="0" xfId="0" applyNumberFormat="1" applyFont="1" applyFill="1" applyBorder="1" applyAlignment="1">
      <x:alignment horizontal="center"/>
    </x:xf>
    <x:xf numFmtId="0" fontId="1" fillId="3" borderId="1" xfId="0" applyNumberFormat="1" applyFont="1" applyFill="1" applyBorder="1" applyAlignment="1">
      <x:alignment horizontal="center"/>
    </x:xf>
    <x:xf numFmtId="0" fontId="0" fillId="4" borderId="0" xfId="0" applyNumberFormat="1" applyFont="1" applyFill="1" applyBorder="1"/>
    <x:xf numFmtId="0" fontId="5" fillId="4" borderId="0" xfId="0" applyNumberFormat="1" applyFont="1" applyFill="1" applyBorder="1"/>
    <x:xf numFmtId="0" fontId="0" fillId="4" borderId="1" xfId="0" applyNumberFormat="1" applyFont="1" applyFill="1" applyBorder="1"/>
    <x:xf numFmtId="0" fontId="5" fillId="4" borderId="1" xfId="0" applyNumberFormat="1" applyFont="1" applyFill="1" applyBorder="1"/>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horizontal="center"/>
    </x:xf>
    <x:xf numFmtId="0" fontId="0" fillId="5" borderId="1" xfId="0" applyNumberFormat="1" applyFont="1" applyFill="1" applyBorder="1"/>
    <x:xf numFmtId="0" fontId="6" fillId="5" borderId="1" xfId="0" applyNumberFormat="1" applyFont="1" applyFill="1" applyBorder="1"/>
    <x:xf numFmtId="0" fontId="6" fillId="5" borderId="1" xfId="0" applyNumberFormat="1" applyFont="1" applyFill="1" applyBorder="1" applyAlignment="1">
      <x:alignment horizontal="center"/>
    </x:xf>
    <x:xf numFmtId="0" fontId="1" fillId="3" borderId="2" xfId="0" applyNumberFormat="1" applyFont="1" applyFill="1" applyBorder="1" applyAlignment="1">
      <x:alignment horizontal="center"/>
    </x:xf>
    <x:xf numFmtId="0" fontId="1" fillId="3" borderId="3" xfId="0" applyNumberFormat="1" applyFont="1" applyFill="1" applyBorder="1" applyAlignment="1">
      <x:alignment horizontal="center"/>
    </x:xf>
    <x:xf numFmtId="0" fontId="5" fillId="4" borderId="4" xfId="0" applyNumberFormat="1" applyFont="1" applyFill="1" applyBorder="1"/>
    <x:xf numFmtId="0" fontId="6" fillId="5" borderId="5" xfId="0" applyNumberFormat="1" applyFont="1" applyFill="1" applyBorder="1" applyAlignment="1">
      <x:alignment horizontal="center"/>
    </x:xf>
    <x:xf numFmtId="0" fontId="5" fillId="4" borderId="6" xfId="0" applyNumberFormat="1" applyFont="1" applyFill="1" applyBorder="1"/>
    <x:xf numFmtId="0" fontId="6" fillId="5" borderId="7" xfId="0" applyNumberFormat="1" applyFont="1" applyFill="1" applyBorder="1" applyAlignment="1">
      <x:alignment horizontal="center"/>
    </x:xf>
    <x:xf numFmtId="0" fontId="1" fillId="3" borderId="8" xfId="0" applyNumberFormat="1" applyFont="1" applyFill="1" applyBorder="1" applyAlignment="1">
      <x:alignment horizontal="center"/>
    </x:xf>
    <x:xf numFmtId="0" fontId="1" fillId="3" borderId="9" xfId="0" applyNumberFormat="1" applyFont="1" applyFill="1" applyBorder="1" applyAlignment="1">
      <x:alignment horizontal="center"/>
    </x:xf>
    <x:xf numFmtId="0" fontId="5" fillId="4" borderId="10" xfId="0" applyNumberFormat="1" applyFont="1" applyFill="1" applyBorder="1"/>
    <x:xf numFmtId="0" fontId="6" fillId="5" borderId="11" xfId="0" applyNumberFormat="1" applyFont="1" applyFill="1" applyBorder="1" applyAlignment="1">
      <x:alignment horizontal="center"/>
    </x:xf>
    <x:xf numFmtId="0" fontId="5" fillId="4" borderId="12" xfId="0" applyNumberFormat="1" applyFont="1" applyFill="1" applyBorder="1"/>
    <x:xf numFmtId="0" fontId="6" fillId="5" borderId="13" xfId="0" applyNumberFormat="1" applyFont="1" applyFill="1" applyBorder="1" applyAlignment="1">
      <x:alignment horizontal="center"/>
    </x:xf>
    <x:xf numFmtId="0" fontId="7" fillId="4" borderId="0" xfId="0" applyNumberFormat="1" applyFont="1" applyFill="1" applyBorder="1"/>
    <x:xf numFmtId="0" fontId="7" fillId="4" borderId="1"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0" xfId="0" applyNumberFormat="1" applyFont="1" applyFill="1" applyBorder="1" applyAlignment="1">
      <x:alignment horizontal="center" vertical="top" wrapText="1"/>
    </x:xf>
    <x:xf numFmtId="0" fontId="0" fillId="6" borderId="1" xfId="0" applyNumberFormat="1" applyFont="1" applyFill="1" applyBorder="1" applyAlignment="1">
      <x:alignment vertical="top" wrapText="1"/>
    </x:xf>
    <x:xf numFmtId="0" fontId="8" fillId="6" borderId="1" xfId="0" applyNumberFormat="1" applyFont="1" applyFill="1" applyBorder="1" applyAlignment="1">
      <x:alignment vertical="top" wrapText="1"/>
    </x:xf>
    <x:xf numFmtId="0" fontId="8" fillId="6" borderId="1" xfId="0" applyNumberFormat="1" applyFont="1" applyFill="1" applyBorder="1" applyAlignment="1">
      <x:alignment horizontal="center" vertical="top" wrapText="1"/>
    </x:xf>
    <x:xf numFmtId="0" fontId="1" fillId="2" borderId="2" xfId="0" applyNumberFormat="1" applyFont="1" applyFill="1" applyBorder="1" applyAlignment="1">
      <x:alignment horizontal="center"/>
    </x:xf>
    <x:xf numFmtId="0" fontId="1" fillId="2" borderId="14" xfId="0" applyNumberFormat="1" applyFont="1" applyFill="1" applyBorder="1" applyAlignment="1">
      <x:alignment horizontal="center"/>
    </x:xf>
    <x:xf numFmtId="0" fontId="1" fillId="2" borderId="3" xfId="0" applyNumberFormat="1" applyFont="1" applyFill="1" applyBorder="1" applyAlignment="1">
      <x:alignment horizontal="center"/>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8" fillId="6" borderId="15" xfId="0" applyNumberFormat="1" applyFont="1" applyFill="1" applyBorder="1" applyAlignment="1">
      <x:alignment horizontal="center" vertical="top" wrapText="1"/>
    </x:xf>
    <x:xf numFmtId="0" fontId="0" fillId="0" borderId="7" xfId="0" applyNumberFormat="1" applyFont="1" applyFill="1" applyBorder="1" applyAlignment="1">
      <x:alignment vertical="top" wrapText="1"/>
    </x:xf>
    <x:xf numFmtId="0" fontId="1" fillId="2" borderId="8" xfId="0" applyNumberFormat="1" applyFont="1" applyFill="1" applyBorder="1" applyAlignment="1">
      <x:alignment horizontal="center"/>
    </x:xf>
    <x:xf numFmtId="0" fontId="1" fillId="2" borderId="16" xfId="0" applyNumberFormat="1" applyFont="1" applyFill="1" applyBorder="1" applyAlignment="1">
      <x:alignment horizontal="center"/>
    </x:xf>
    <x:xf numFmtId="0" fontId="1" fillId="2" borderId="9" xfId="0" applyNumberFormat="1" applyFont="1" applyFill="1" applyBorder="1" applyAlignment="1">
      <x:alignment horizontal="center"/>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8" fillId="6" borderId="17" xfId="0" applyNumberFormat="1" applyFont="1" applyFill="1" applyBorder="1" applyAlignment="1">
      <x:alignment horizontal="center" vertical="top" wrapText="1"/>
    </x:xf>
    <x:xf numFmtId="0" fontId="0" fillId="0" borderId="13" xfId="0" applyNumberFormat="1" applyFont="1" applyFill="1" applyBorder="1" applyAlignment="1">
      <x:alignment vertical="top" wrapText="1"/>
    </x:xf>
    <x:xf numFmtId="0" fontId="0" fillId="7" borderId="0" xfId="0" applyNumberFormat="1" applyFont="1" applyFill="1" applyBorder="1"/>
    <x:xf numFmtId="0" fontId="9" fillId="7" borderId="0" xfId="0" applyNumberFormat="1" applyFont="1" applyFill="1" applyBorder="1"/>
    <x:xf numFmtId="0" fontId="9" fillId="7" borderId="0" xfId="0" applyNumberFormat="1" applyFont="1" applyFill="1" applyBorder="1" applyAlignment="1">
      <x:alignment wrapText="1"/>
    </x:xf>
    <x:xf numFmtId="0" fontId="9" fillId="7" borderId="0" xfId="0" applyNumberFormat="1" applyFont="1" applyFill="1" applyBorder="1" applyAlignment="1">
      <x:alignment vertical="top" wrapText="1"/>
    </x:xf>
    <x:xf numFmtId="0" fontId="0" fillId="7" borderId="1" xfId="0" applyNumberFormat="1" applyFont="1" applyFill="1" applyBorder="1"/>
    <x:xf numFmtId="0" fontId="9" fillId="7" borderId="1" xfId="0" applyNumberFormat="1" applyFont="1" applyFill="1" applyBorder="1"/>
    <x:xf numFmtId="0" fontId="9" fillId="7" borderId="1" xfId="0" applyNumberFormat="1" applyFont="1" applyFill="1" applyBorder="1" applyAlignment="1">
      <x:alignment wrapText="1"/>
    </x:xf>
    <x:xf numFmtId="0" fontId="9" fillId="7" borderId="1" xfId="0" applyNumberFormat="1" applyFont="1" applyFill="1" applyBorder="1" applyAlignment="1">
      <x:alignment vertical="top" wrapText="1"/>
    </x:xf>
    <x:xf numFmtId="0" fontId="9" fillId="7" borderId="2" xfId="0" applyNumberFormat="1" applyFont="1" applyFill="1" applyBorder="1" applyAlignment="1">
      <x:alignment vertical="top" wrapText="1"/>
    </x:xf>
    <x:xf numFmtId="0" fontId="9" fillId="7" borderId="14" xfId="0" applyNumberFormat="1" applyFont="1" applyFill="1" applyBorder="1" applyAlignment="1">
      <x:alignment vertical="top" wrapText="1"/>
    </x:xf>
    <x:xf numFmtId="0" fontId="9" fillId="7" borderId="3" xfId="0" applyNumberFormat="1" applyFont="1" applyFill="1" applyBorder="1" applyAlignment="1">
      <x:alignment vertical="top" wrapText="1"/>
    </x:xf>
    <x:xf numFmtId="0" fontId="9" fillId="7" borderId="4" xfId="0" applyNumberFormat="1" applyFont="1" applyFill="1" applyBorder="1" applyAlignment="1">
      <x:alignment vertical="top" wrapText="1"/>
    </x:xf>
    <x:xf numFmtId="0" fontId="9" fillId="7" borderId="5" xfId="0" applyNumberFormat="1" applyFont="1" applyFill="1" applyBorder="1" applyAlignment="1">
      <x:alignment vertical="top" wrapText="1"/>
    </x:xf>
    <x:xf numFmtId="0" fontId="9" fillId="7" borderId="6" xfId="0" applyNumberFormat="1" applyFont="1" applyFill="1" applyBorder="1" applyAlignment="1">
      <x:alignment vertical="top" wrapText="1"/>
    </x:xf>
    <x:xf numFmtId="0" fontId="9" fillId="7" borderId="15" xfId="0" applyNumberFormat="1" applyFont="1" applyFill="1" applyBorder="1" applyAlignment="1">
      <x:alignment vertical="top" wrapText="1"/>
    </x:xf>
    <x:xf numFmtId="0" fontId="9" fillId="7" borderId="7" xfId="0" applyNumberFormat="1" applyFont="1" applyFill="1" applyBorder="1" applyAlignment="1">
      <x:alignment vertical="top" wrapText="1"/>
    </x:xf>
  </x:cellXfs>
  <x:cellStyles count="1">
    <x:cellStyle name="Normal" xfId="0"/>
  </x:cellStyles>
  <x:dxfs count="7">
    <x:dxf>
      <x:font>
        <x:color rgb="FF2F641C"/>
      </x:font>
      <x:fill>
        <x:patternFill patternType="solid">
          <x:bgColor rgb="FFE2F0D9"/>
        </x:patternFill>
      </x:fill>
    </x:dxf>
    <x:dxf>
      <x:font>
        <x:color rgb="FF7F6000"/>
      </x:font>
      <x:fill>
        <x:patternFill patternType="solid">
          <x:bgColor rgb="FFFFF2CC"/>
        </x:patternFill>
      </x:fill>
    </x:dxf>
    <x:dxf>
      <x:font>
        <x:color rgb="FF1F4E78"/>
      </x:font>
      <x:fill>
        <x:patternFill patternType="solid">
          <x:bgColor rgb="FFE7EFF8"/>
        </x:patternFill>
      </x:fill>
    </x:dxf>
    <x:dxf>
      <x:font>
        <x:color rgb="FF0F5257"/>
      </x:font>
      <x:fill>
        <x:patternFill patternType="solid">
          <x:bgColor rgb="FFDCEFF0"/>
        </x:patternFill>
      </x:fill>
    </x:dxf>
    <x:dxf>
      <x:font>
        <x:b/>
        <x:color rgb="FF9C0006"/>
      </x:font>
      <x:fill>
        <x:patternFill patternType="solid">
          <x:bgColor rgb="FFFCE4D6"/>
        </x:patternFill>
      </x:fill>
    </x:dxf>
    <x:dxf>
      <x:font>
        <x:color rgb="FF7F6000"/>
      </x:font>
      <x:fill>
        <x:patternFill patternType="solid">
          <x:bgColor rgb="FFFFF2CC"/>
        </x:patternFill>
      </x:fill>
    </x:dxf>
    <x:dxf>
      <x:font>
        <x:color rgb="FF2F641C"/>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0030b1f6e634ded" /><Relationship Type="http://schemas.openxmlformats.org/officeDocument/2006/relationships/theme" Target="/xl/theme/theme1.xml" Id="R5a001dfa9c53412d" /><Relationship Type="http://schemas.openxmlformats.org/officeDocument/2006/relationships/sharedStrings" Target="/xl/sharedStrings.xml" Id="R2fd0b648e9ec4b00" /><Relationship Type="http://schemas.openxmlformats.org/officeDocument/2006/relationships/worksheet" Target="/xl/worksheets/sheet1.xml" Id="Rb5f4be126c994424" /><Relationship Type="http://schemas.openxmlformats.org/officeDocument/2006/relationships/worksheet" Target="/xl/worksheets/sheet2.xml" Id="R8a21878e4ad048e7" /><Relationship Type="http://schemas.openxmlformats.org/officeDocument/2006/relationships/worksheet" Target="/xl/worksheets/sheet3.xml" Id="R50fb506f37654a9d" /><Relationship Type="http://schemas.openxmlformats.org/officeDocument/2006/relationships/worksheet" Target="/xl/worksheets/sheet4.xml" Id="R7d0ac23885034e73" /></Relationships>
</file>

<file path=xl/drawings/_rels/drawing1.xml.rels>&#65279;<?xml version="1.0" encoding="utf-8"?><Relationships xmlns="http://schemas.openxmlformats.org/package/2006/relationships"><Relationship Type="http://schemas.openxmlformats.org/officeDocument/2006/relationships/chart" Target="/xl/drawings/charts/chart1.xml" Id="R0435e16913c640f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Literature coverage by primary theme</a:t>
            </a:r>
          </a:p>
        </c:rich>
      </c:tx>
      <c:overlay val="0"/>
    </c:title>
    <c:autoTitleDeleted val="0"/>
    <c:plotArea>
      <c:layout/>
      <c:barChart>
        <c:barDir val="col"/>
        <c:varyColors val="0"/>
        <c:ser>
          <c:idx val="0"/>
          <c:order val="0"/>
          <c:tx>
            <c:v>Sources</c:v>
          </c:tx>
          <c:cat>
            <c:strRef>
              <c:f>'Dashboard'!$A$11:$A$16</c:f>
              <c:strCache>
                <c:ptCount val="0"/>
              </c:strCache>
            </c:strRef>
          </c:cat>
          <c:val>
            <c:numRef>
              <c:f>'Dashboard'!$B$11:$B$16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2</xdr:row>
      <xdr:rowOff>0</xdr:rowOff>
    </xdr:from>
    <xdr:to>
      <xdr:col>11</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435e16913c640f7"/>
        </a:graphicData>
      </a:graphic>
    </xdr:graphicFrame>
    <xdr:clientData/>
  </xdr:twoCellAnchor>
</xdr:wsDr>
</file>

<file path=xl/tables/table1.xml><?xml version="1.0" encoding="utf-8"?>
<x:table xmlns:x="http://schemas.openxmlformats.org/spreadsheetml/2006/main" id="1" name="LiteratureMatrixTable" displayName="LiteratureMatrixTable" ref="A1:O17" headerRowCount="1">
  <x:tableColumns count="15">
    <x:tableColumn id="1" name="reference_id"/>
    <x:tableColumn id="2" name="full_citation"/>
    <x:tableColumn id="3" name="year"/>
    <x:tableColumn id="4" name="source_type"/>
    <x:tableColumn id="5" name="topic"/>
    <x:tableColumn id="6" name="research_question"/>
    <x:tableColumn id="7" name="data_used"/>
    <x:tableColumn id="8" name="methods"/>
    <x:tableColumn id="9" name="main_findings"/>
    <x:tableColumn id="10" name="limitations"/>
    <x:tableColumn id="11" name="how_used_in_dissertation"/>
    <x:tableColumn id="12" name="chapter"/>
    <x:tableColumn id="13" name="bibtex_key"/>
    <x:tableColumn id="14" name="read_status"/>
    <x:tableColumn id="15" name="notes"/>
  </x:tableColumns>
  <x:tableStyleInfo name="TableStyleMedium2" showRowStripes="1"/>
</x:table>
</file>

<file path=xl/tables/table2.xml><?xml version="1.0" encoding="utf-8"?>
<x:table xmlns:x="http://schemas.openxmlformats.org/spreadsheetml/2006/main" id="2" name="ReadingPlanTable" displayName="ReadingPlanTable" ref="A1:G17" headerRowCount="1">
  <x:tableColumns count="7">
    <x:tableColumn id="1" name="reference_id"/>
    <x:tableColumn id="2" name="priority"/>
    <x:tableColumn id="3" name="primary_theme"/>
    <x:tableColumn id="4" name="verified_pages_or_sections"/>
    <x:tableColumn id="5" name="next_action"/>
    <x:tableColumn id="6" name="target_chapter"/>
    <x:tableColumn id="7" name="status"/>
  </x:tableColumns>
  <x:tableStyleInfo name="TableStyleMedium2" showRowStripes="1"/>
</x:table>
</file>

<file path=xl/tables/table3.xml><?xml version="1.0" encoding="utf-8"?>
<x:table xmlns:x="http://schemas.openxmlformats.org/spreadsheetml/2006/main" id="3" name="BibTeXTable" displayName="BibTeXTable" ref="A1:B15" headerRowCount="1">
  <x:tableColumns count="2">
    <x:tableColumn id="1" name="bibtex_key"/>
    <x:tableColumn id="2" name="bibtex_entry"/>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036bc32c6784a03" /></Relationships>
</file>

<file path=xl/worksheets/_rels/sheet2.xml.rels>&#65279;<?xml version="1.0" encoding="utf-8"?><Relationships xmlns="http://schemas.openxmlformats.org/package/2006/relationships"><Relationship Type="http://schemas.openxmlformats.org/officeDocument/2006/relationships/table" Target="/xl/tables/table1.xml" Id="R7ff098d6758a409a" /></Relationships>
</file>

<file path=xl/worksheets/_rels/sheet3.xml.rels>&#65279;<?xml version="1.0" encoding="utf-8"?><Relationships xmlns="http://schemas.openxmlformats.org/package/2006/relationships"><Relationship Type="http://schemas.openxmlformats.org/officeDocument/2006/relationships/table" Target="/xl/tables/table2.xml" Id="R646ab6ea0c604fe4" /></Relationships>
</file>

<file path=xl/worksheets/_rels/sheet4.xml.rels>&#65279;<?xml version="1.0" encoding="utf-8"?><Relationships xmlns="http://schemas.openxmlformats.org/package/2006/relationships"><Relationship Type="http://schemas.openxmlformats.org/officeDocument/2006/relationships/table" Target="/xl/tables/table3.xml" Id="Re0078652b2f64ef2" /></Relationships>
</file>

<file path=xl/worksheets/sheet1.xml><?xml version="1.0" encoding="utf-8"?>
<x:worksheet xmlns:x="http://schemas.openxmlformats.org/spreadsheetml/2006/main">
  <x:sheetFormatPr defaultRowHeight="15"/>
  <x:cols>
    <x:col min="1" max="1" width="34" hidden="0" customWidth="1"/>
    <x:col min="2" max="2" width="16" hidden="0" customWidth="1"/>
    <x:col min="3" max="3" width="48" hidden="0" customWidth="1"/>
  </x:cols>
  <x:sheetData>
    <x:row r="1" ht="38" customHeight="1">
      <x:c r="A1" s="42" t="str">
        <x:v>Step 9 — Literature Review Control Centre</x:v>
      </x:c>
      <x:c r="B1" s="42"/>
      <x:c r="C1" s="42"/>
      <x:c r="D1" s="42"/>
      <x:c r="E1" s="42"/>
      <x:c r="F1" s="42"/>
    </x:row>
    <x:row r="3">
      <x:c r="A3" s="58" t="str">
        <x:v>Metric</x:v>
      </x:c>
      <x:c r="B3" s="59" t="str">
        <x:v>Value</x:v>
      </x:c>
    </x:row>
    <x:row r="4">
      <x:c r="A4" s="60" t="str">
        <x:v>Total matrix entries</x:v>
      </x:c>
      <x:c r="B4" s="61" t="n">
        <x:f>COUNTA('Literature Matrix'!A2:A200)</x:f>
        <x:v>16</x:v>
      </x:c>
    </x:row>
    <x:row r="5">
      <x:c r="A5" s="60" t="str">
        <x:v>Targeted reviews complete</x:v>
      </x:c>
      <x:c r="B5" s="61" t="n">
        <x:f>COUNTIF('Literature Matrix'!N2:N200,"Targeted review complete")</x:f>
        <x:v>12</x:v>
      </x:c>
    </x:row>
    <x:row r="6">
      <x:c r="A6" s="60" t="str">
        <x:v>Metadata/abstract reviews</x:v>
      </x:c>
      <x:c r="B6" s="61" t="n">
        <x:f>COUNTIF('Literature Matrix'!N2:N200,"Metadata and abstract reviewed")</x:f>
        <x:v>4</x:v>
      </x:c>
    </x:row>
    <x:row r="7">
      <x:c r="A7" s="60" t="str">
        <x:v>High-priority entries</x:v>
      </x:c>
      <x:c r="B7" s="61" t="n">
        <x:f>COUNTIF('Reading Plan'!B2:B200,"High")</x:f>
        <x:v>11</x:v>
      </x:c>
    </x:row>
    <x:row r="8">
      <x:c r="A8" s="62" t="str">
        <x:v>Unique BibTeX sources</x:v>
      </x:c>
      <x:c r="B8" s="63" t="n">
        <x:f>COUNTA(BibTeX!A2:A100)</x:f>
        <x:v>14</x:v>
      </x:c>
    </x:row>
    <x:row r="10">
      <x:c r="A10" s="46" t="str">
        <x:v>Primary theme</x:v>
      </x:c>
      <x:c r="B10" s="46" t="str">
        <x:v>Sources</x:v>
      </x:c>
    </x:row>
    <x:row r="11">
      <x:c r="A11" s="70" t="str">
        <x:v>Claims inflation</x:v>
      </x:c>
      <x:c r="B11" t="n">
        <x:v>6</x:v>
      </x:c>
    </x:row>
    <x:row r="12">
      <x:c r="A12" s="70" t="str">
        <x:v>Classical reserving</x:v>
      </x:c>
      <x:c r="B12" t="n">
        <x:v>3</x:v>
      </x:c>
    </x:row>
    <x:row r="13">
      <x:c r="A13" s="70" t="str">
        <x:v>ML reserving</x:v>
      </x:c>
      <x:c r="B13" t="n">
        <x:v>3</x:v>
      </x:c>
    </x:row>
    <x:row r="14">
      <x:c r="A14" s="70" t="str">
        <x:v>Reinsurance</x:v>
      </x:c>
      <x:c r="B14" t="n">
        <x:v>2</x:v>
      </x:c>
    </x:row>
    <x:row r="15">
      <x:c r="A15" s="70" t="str">
        <x:v>Validation</x:v>
      </x:c>
      <x:c r="B15" t="n">
        <x:v>1</x:v>
      </x:c>
    </x:row>
    <x:row r="16">
      <x:c r="A16" s="70" t="str">
        <x:v>Simulation</x:v>
      </x:c>
      <x:c r="B16" t="n">
        <x:v>1</x:v>
      </x:c>
    </x:row>
    <x:row r="19">
      <x:c r="A19" s="82" t="str">
        <x:v>Step 9 completion criterion</x:v>
      </x:c>
      <x:c r="B19" s="83" t="str">
        <x:v>Status</x:v>
      </x:c>
      <x:c r="C19" s="84" t="str">
        <x:v>Evidence</x:v>
      </x:c>
      <x:c r="D19" s="46" t="str">
        <x:v>Immediate dissertation use</x:v>
      </x:c>
      <x:c r="E19" s="46"/>
      <x:c r="F19" s="46"/>
      <x:c r="G19" s="46"/>
      <x:c r="H19" s="46"/>
      <x:c r="I19" s="46"/>
      <x:c r="J19" s="46"/>
      <x:c r="K19" s="46"/>
    </x:row>
    <x:row r="20" ht="38" customHeight="1">
      <x:c r="A20" s="85" t="str">
        <x:v>Required 15 matrix columns</x:v>
      </x:c>
      <x:c r="B20" s="78" t="str">
        <x:v>Complete</x:v>
      </x:c>
      <x:c r="C20" s="86" t="str">
        <x:v>Literature Matrix A:O</x:v>
      </x:c>
      <x:c r="D20" s="106" t="str">
        <x:v>1. Cite CIPD2024 when documenting the pseudo-data inspiration.
2. Use RVI2025, IACL2025 and CASHFLOW2025 to define the classical comparison.
3. Use Mack (1993) and Renshaw–Verrall (1998) to state the classical assumptions.
4. Use Yeung (2011) and Albrecher et al. (2017) for XoL and indexation mechanics.
5. Use McGuire et al. (2021), Gabrielli et al. (2020) and Meyers–Shi (2011) to justify the ML and validation design.</x:v>
      </x:c>
      <x:c r="E20" s="107"/>
      <x:c r="F20" s="107"/>
      <x:c r="G20" s="107"/>
      <x:c r="H20" s="107"/>
      <x:c r="I20" s="107"/>
      <x:c r="J20" s="107"/>
      <x:c r="K20" s="108"/>
    </x:row>
    <x:row r="21" ht="38" customHeight="1">
      <x:c r="A21" s="85" t="str">
        <x:v>At least 10 core entries</x:v>
      </x:c>
      <x:c r="B21" s="78" t="str">
        <x:v>Complete</x:v>
      </x:c>
      <x:c r="C21" s="86" t="str">
        <x:v>16 entries included</x:v>
      </x:c>
      <x:c r="D21" s="109"/>
      <x:c r="E21" s="101"/>
      <x:c r="F21" s="101"/>
      <x:c r="G21" s="101"/>
      <x:c r="H21" s="101"/>
      <x:c r="I21" s="101"/>
      <x:c r="J21" s="101"/>
      <x:c r="K21" s="110"/>
    </x:row>
    <x:row r="22" ht="38" customHeight="1">
      <x:c r="A22" s="85" t="str">
        <x:v>Inflation, reserving, reinsurance, ML and validation covered</x:v>
      </x:c>
      <x:c r="B22" s="78" t="str">
        <x:v>Complete</x:v>
      </x:c>
      <x:c r="C22" s="86" t="str">
        <x:v>See theme summary and Reading Plan</x:v>
      </x:c>
      <x:c r="D22" s="109"/>
      <x:c r="E22" s="101"/>
      <x:c r="F22" s="101"/>
      <x:c r="G22" s="101"/>
      <x:c r="H22" s="101"/>
      <x:c r="I22" s="101"/>
      <x:c r="J22" s="101"/>
      <x:c r="K22" s="110"/>
    </x:row>
    <x:row r="23" ht="38" customHeight="1">
      <x:c r="A23" s="85" t="str">
        <x:v>Full citations and source URLs recorded</x:v>
      </x:c>
      <x:c r="B23" s="78" t="str">
        <x:v>Complete</x:v>
      </x:c>
      <x:c r="C23" s="86" t="str">
        <x:v>Citation and BibTeX sheets</x:v>
      </x:c>
      <x:c r="D23" s="109"/>
      <x:c r="E23" s="101"/>
      <x:c r="F23" s="101"/>
      <x:c r="G23" s="101"/>
      <x:c r="H23" s="101"/>
      <x:c r="I23" s="101"/>
      <x:c r="J23" s="101"/>
      <x:c r="K23" s="110"/>
    </x:row>
    <x:row r="24" ht="38" customHeight="1">
      <x:c r="A24" s="85" t="str">
        <x:v>Use in dissertation and target chapter identified</x:v>
      </x:c>
      <x:c r="B24" s="78" t="str">
        <x:v>Complete</x:v>
      </x:c>
      <x:c r="C24" s="86" t="str">
        <x:v>Columns K–L</x:v>
      </x:c>
      <x:c r="D24" s="109"/>
      <x:c r="E24" s="101"/>
      <x:c r="F24" s="101"/>
      <x:c r="G24" s="101"/>
      <x:c r="H24" s="101"/>
      <x:c r="I24" s="101"/>
      <x:c r="J24" s="101"/>
      <x:c r="K24" s="110"/>
    </x:row>
    <x:row r="25" ht="38" customHeight="1">
      <x:c r="A25" s="87" t="str">
        <x:v>Next reading/coding action specified</x:v>
      </x:c>
      <x:c r="B25" s="88" t="str">
        <x:v>Complete</x:v>
      </x:c>
      <x:c r="C25" s="89" t="str">
        <x:v>Reading Plan</x:v>
      </x:c>
      <x:c r="D25" s="111"/>
      <x:c r="E25" s="112"/>
      <x:c r="F25" s="112"/>
      <x:c r="G25" s="112"/>
      <x:c r="H25" s="112"/>
      <x:c r="I25" s="112"/>
      <x:c r="J25" s="112"/>
      <x:c r="K25" s="113"/>
    </x:row>
  </x:sheetData>
  <x:mergeCells>
    <x:mergeCell ref="A1:F1"/>
    <x:mergeCell ref="D19:K19"/>
    <x:mergeCell ref="D20:K25"/>
  </x:mergeCells>
  <x:conditionalFormatting sqref="B11:B16">
    <x:cfRule type="dataBar" priority="1">
      <x:dataBar>
        <x:cfvo type="min"/>
        <x:cfvo type="max"/>
        <x:color rgb="FFA02B93"/>
      </x:dataBar>
      <x:extLst>
        <x:ext xmlns:x14="http://schemas.microsoft.com/office/spreadsheetml/2009/9/main" uri="{B025F937-C7B1-47D3-B67F-A62EFF666E3E}">
          <x14:id>{E5D2A047-4238-8741-E2B3-85669B88D1C8}</x14:id>
        </x:ext>
      </x:extLst>
    </x:cfRule>
  </x:conditionalFormatting>
  <x:pageMargins left="0.7" right="0.7" top="0.75" bottom="0.75" header="0.3" footer="0.3"/>
  <x:drawing xmlns:r="http://schemas.openxmlformats.org/officeDocument/2006/relationships" r:id="Rf036bc32c6784a03"/>
  <x:extLst>
    <x:ext xmlns:x14="http://schemas.microsoft.com/office/spreadsheetml/2009/9/main" xmlns:xm="http://schemas.microsoft.com/office/excel/2006/main" uri="{78C0D931-6437-407d-A8EE-F0AAD7539E65}">
      <x14:conditionalFormattings>
        <x14:conditionalFormatting>
          <x14:cfRule type="dataBar" priority="1" id="{E5D2A047-4238-8741-E2B3-85669B88D1C8}">
            <x14:dataBar gradient="1">
              <x14:cfvo type="min"/>
              <x14:cfvo type="max"/>
              <x14:fillColor rgb="FFA02B93"/>
            </x14:dataBar>
          </x14:cfRule>
          <xm:sqref>B11:B16</xm:sqref>
        </x14:conditionalFormatting>
      </x14:conditionalFormattings>
    </x:ext>
  </x:extLst>
</x:worksheet>
</file>

<file path=xl/worksheets/sheet2.xml><?xml version="1.0" encoding="utf-8"?>
<x:worksheet xmlns:x="http://schemas.openxmlformats.org/spreadsheetml/2006/main">
  <x:sheetFormatPr defaultRowHeight="15"/>
  <x:cols>
    <x:col min="1" max="1" width="16" hidden="0" customWidth="1"/>
    <x:col min="2" max="2" width="58" hidden="0" customWidth="1"/>
    <x:col min="3" max="3" width="9" hidden="0" customWidth="1"/>
    <x:col min="4" max="4" width="25" hidden="0" customWidth="1"/>
    <x:col min="5" max="5" width="30" hidden="0" customWidth="1"/>
    <x:col min="6" max="6" width="42" hidden="0" customWidth="1"/>
    <x:col min="7" max="7" width="39" hidden="0" customWidth="1"/>
    <x:col min="8" max="8" width="44" hidden="0" customWidth="1"/>
    <x:col min="9" max="9" width="46" hidden="0" customWidth="1"/>
    <x:col min="10" max="10" width="42" hidden="0" customWidth="1"/>
    <x:col min="11" max="11" width="44" hidden="0" customWidth="1"/>
    <x:col min="12" max="12" width="30" hidden="0" customWidth="1"/>
    <x:col min="13" max="13" width="30" hidden="0" customWidth="1"/>
    <x:col min="14" max="14" width="27" hidden="0" customWidth="1"/>
    <x:col min="15" max="15" width="58" hidden="0" customWidth="1"/>
  </x:cols>
  <x:sheetData>
    <x:row r="1" ht="34" customHeight="1">
      <x:c r="A1" s="6" t="str">
        <x:v>reference_id</x:v>
      </x:c>
      <x:c r="B1" s="6" t="str">
        <x:v>full_citation</x:v>
      </x:c>
      <x:c r="C1" s="6" t="str">
        <x:v>year</x:v>
      </x:c>
      <x:c r="D1" s="6" t="str">
        <x:v>source_type</x:v>
      </x:c>
      <x:c r="E1" s="6" t="str">
        <x:v>topic</x:v>
      </x:c>
      <x:c r="F1" s="6" t="str">
        <x:v>research_question</x:v>
      </x:c>
      <x:c r="G1" s="6" t="str">
        <x:v>data_used</x:v>
      </x:c>
      <x:c r="H1" s="6" t="str">
        <x:v>methods</x:v>
      </x:c>
      <x:c r="I1" s="6" t="str">
        <x:v>main_findings</x:v>
      </x:c>
      <x:c r="J1" s="6" t="str">
        <x:v>limitations</x:v>
      </x:c>
      <x:c r="K1" s="6" t="str">
        <x:v>how_used_in_dissertation</x:v>
      </x:c>
      <x:c r="L1" s="6" t="str">
        <x:v>chapter</x:v>
      </x:c>
      <x:c r="M1" s="6" t="str">
        <x:v>bibtex_key</x:v>
      </x:c>
      <x:c r="N1" s="6" t="str">
        <x:v>read_status</x:v>
      </x:c>
      <x:c r="O1" s="6" t="str">
        <x:v>notes</x:v>
      </x:c>
    </x:row>
    <x:row r="2" ht="100" customHeight="1">
      <x:c r="A2" s="14" t="str">
        <x:v>CIPD2024</x:v>
      </x:c>
      <x:c r="B2" s="14" t="str">
        <x:v>Creedon, C., Bargate, E., Lenney, S., Schofield, M., &amp; Stock, R. (2024). Claims inflation estimation: A practical guide for historical data. Institute and Faculty of Actuaries. https://actuaries.org.uk/media/3i0fik1e/claims-inflation-estimation-a-practical-guide-for-historical-data.pdf</x:v>
      </x:c>
      <x:c r="C2" s="18" t="n">
        <x:v>2024</x:v>
      </x:c>
      <x:c r="D2" s="14" t="str">
        <x:v>IFoA working-party research paper</x:v>
      </x:c>
      <x:c r="E2" s="14" t="str">
        <x:v>Claims inflation estimation and pseudo-data design</x:v>
      </x:c>
      <x:c r="F2" s="14" t="str">
        <x:v>How can historical claims inflation be estimated, and how do estimation approaches behave when inflation, frequency and development conditions change?</x:v>
      </x:c>
      <x:c r="G2" s="14" t="str">
        <x:v>Controlled pseudo claim data generated under multiple inflation and frequency scenarios; Poisson claim counts, Pareto large-claim severities and a finite development pattern.</x:v>
      </x:c>
      <x:c r="H2" s="14" t="str">
        <x:v>Pseudo-data simulation; individual-claim and aggregate inflation diagnostics; scenario-based comparison of claims-inflation estimation approaches.</x:v>
      </x:c>
      <x:c r="I2" s="14" t="str">
        <x:v>Observed claims data combine severity inflation, frequency change, development and mix effects. Controlled pseudo-data help distinguish genuine inflation from other structural features.</x:v>
      </x:c>
      <x:c r="J2" s="14" t="str">
        <x:v>The scenarios are deliberately simplified and results depend on the assumed data-generating process, development maturity and data quality. The parameter choices are illustrative rather than calibrated to one portfolio.</x:v>
      </x:c>
      <x:c r="K2" s="14" t="str">
        <x:v>Primary source for the pilot pseudo-data framework and for explaining why inflation, frequency and development effects must be separated.</x:v>
      </x:c>
      <x:c r="L2" s="14" t="str">
        <x:v>Chapter 2 – Literature Review; Chapter 3 – Simulation Methodology</x:v>
      </x:c>
      <x:c r="M2" s="14" t="str">
        <x:v>creedon2024claims</x:v>
      </x:c>
      <x:c r="N2" s="14" t="str">
        <x:v>Targeted review complete</x:v>
      </x:c>
      <x:c r="O2" s="14" t="str">
        <x:v>Priority: High. Verified pp. 10–14 and 40–41. p. 11 specifies Poisson mean 50 and a fixed seed; p. 12 specifies Pareto observation point 1,000,000, alpha 2.5 and a ten-development-year pattern; pp. 13–14 define stable, emerging, shock and frequency-trend scenarios. Cite the paper as inspiration, while clearly identifying dissertation-specific changes.</x:v>
      </x:c>
    </x:row>
    <x:row r="3" ht="100" customHeight="1">
      <x:c r="A3" s="14" t="str">
        <x:v>RVI2025</x:v>
      </x:c>
      <x:c r="B3" s="14" t="str">
        <x:v>Creedon, C., Bargate, E., Lenney, S., Schofield, M., &amp; Stock, R. (2025). Reserving for volatile inflation: A practitioner’s guide to setting best estimate reserves during periods of inflation volatility. Institute and Faculty of Actuaries. https://vle.actuaries.org.uk/pluginfile.php/168696/mod_resource/content/1/Reserving%20During%20Volatile%20Inflation%20v1.9.pdf</x:v>
      </x:c>
      <x:c r="C3" s="18" t="n">
        <x:v>2025</x:v>
      </x:c>
      <x:c r="D3" s="14" t="str">
        <x:v>IFoA practitioner research paper</x:v>
      </x:c>
      <x:c r="E3" s="14" t="str">
        <x:v>Claims reserving during volatile inflation</x:v>
      </x:c>
      <x:c r="F3" s="14" t="str">
        <x:v>How should best-estimate reserves be adjusted when future claims inflation differs materially from the inflation implicitly embedded in historical triangles?</x:v>
      </x:c>
      <x:c r="G3" s="14" t="str">
        <x:v>Pseudo-data generated across stable, emerging, shock, frequency-trend and inflation-estimation-error scenarios; reserve estimates are compared with known simulated outcomes.</x:v>
      </x:c>
      <x:c r="H3" s="14" t="str">
        <x:v>Unadjusted Chain Ladder and Bornhuetter–Ferguson benchmarks; A Priori Uplift; Cashflow Uplift; Management Uplift; Inflation-Adjusted Chain Ladder; discussion of PPCI and PPCF.</x:v>
      </x:c>
      <x:c r="I3" s="14" t="str">
        <x:v>No single adjustment dominates in every scenario. Unadjusted reserves can be deficient when inflation rises; Cashflow Uplift handles expected reversion more naturally; the paper’s IACL implementation can overstate temporary shocks; severity adjustments do not correct frequency trends.</x:v>
      </x:c>
      <x:c r="J3" s="14" t="str">
        <x:v>The study uses controlled pseudo-data and often assumes strong knowledge of historical and future inflation. Results may differ under real portfolio heterogeneity, parameter uncertainty and operational judgement.</x:v>
      </x:c>
      <x:c r="K3" s="14" t="str">
        <x:v>Main source for the classical benchmark design and for the stable, emerging and shock inflation comparison.</x:v>
      </x:c>
      <x:c r="L3" s="14" t="str">
        <x:v>Chapter 2 – Literature Review; Chapter 3 – Reserving Methods; Chapter 5 – Discussion</x:v>
      </x:c>
      <x:c r="M3" s="14" t="str">
        <x:v>creedon2025volatile</x:v>
      </x:c>
      <x:c r="N3" s="14" t="str">
        <x:v>Targeted review complete</x:v>
      </x:c>
      <x:c r="O3" s="14" t="str">
        <x:v>Priority: High. Verified pp. 10–13 for data and scenarios; pp. 15–18 for methods; pp. 20–26 for scenario results; pp. 38–39 for conclusions. Use the paper’s reported errors as literature evidence, not as expected dissertation results.</x:v>
      </x:c>
    </x:row>
    <x:row r="4" ht="100" customHeight="1">
      <x:c r="A4" s="14" t="str">
        <x:v>MACK1993</x:v>
      </x:c>
      <x:c r="B4" s="14" t="str">
        <x:v>Mack, T. (1993). Distribution-free calculation of the standard error of Chain Ladder reserve estimates. ASTIN Bulletin, 23(2), 213–225. https://doi.org/10.2143/AST.23.2.2005092</x:v>
      </x:c>
      <x:c r="C4" s="18" t="n">
        <x:v>1993</x:v>
      </x:c>
      <x:c r="D4" s="14" t="str">
        <x:v>Peer-reviewed actuarial journal article</x:v>
      </x:c>
      <x:c r="E4" s="14" t="str">
        <x:v>Chain Ladder reserving and prediction uncertainty</x:v>
      </x:c>
      <x:c r="F4" s="14" t="str">
        <x:v>How can the standard error of Chain Ladder reserve estimates be calculated without imposing a full parametric distribution on cumulative claims?</x:v>
      </x:c>
      <x:c r="G4" s="14" t="str">
        <x:v>Run-off triangle framework with numerical illustrations.</x:v>
      </x:c>
      <x:c r="H4" s="14" t="str">
        <x:v>Classical age-to-age Chain Ladder factors and a distribution-free derivation of reserve standard errors under Mack assumptions.</x:v>
      </x:c>
      <x:c r="I4" s="14" t="str">
        <x:v>The paper derives practical formulas for process and parameter uncertainty and formalises the stochastic assumptions behind Chain Ladder.</x:v>
      </x:c>
      <x:c r="J4" s="14" t="str">
        <x:v>Requires stable proportional development and independence between accident years. Calendar-year effects can violate independence, and the prediction error does not capture model misspecification or an unprecedented future regime.</x:v>
      </x:c>
      <x:c r="K4" s="14" t="str">
        <x:v>Foundational citation for the Chain Ladder benchmark, its assumptions and its vulnerability under inflation and structural change.</x:v>
      </x:c>
      <x:c r="L4" s="14" t="str">
        <x:v>Chapter 2 – Classical Reserving; Chapter 3 – Benchmark Model</x:v>
      </x:c>
      <x:c r="M4" s="14" t="str">
        <x:v>mack1993distributionfree</x:v>
      </x:c>
      <x:c r="N4" s="14" t="str">
        <x:v>Targeted review complete</x:v>
      </x:c>
      <x:c r="O4" s="14" t="str">
        <x:v>Priority: High. Article pp. 214–216 set out the conditional-mean and accident-year-independence assumptions. p. 215 explicitly notes calendar-year effects as a possible violation. p. 224 states that the standard error does not capture specification error or future development differing from the past.</x:v>
      </x:c>
    </x:row>
    <x:row r="5" ht="100" customHeight="1">
      <x:c r="A5" s="14" t="str">
        <x:v>IACL2025</x:v>
      </x:c>
      <x:c r="B5" s="14" t="str">
        <x:v>Creedon, C., Bargate, E., Lenney, S., Schofield, M., &amp; Stock, R. (2025). Reserving for volatile inflation: A practitioner’s guide to setting best estimate reserves during periods of inflation volatility. Institute and Faculty of Actuaries. https://vle.actuaries.org.uk/pluginfile.php/168696/mod_resource/content/1/Reserving%20During%20Volatile%20Inflation%20v1.9.pdf</x:v>
      </x:c>
      <x:c r="C5" s="18" t="n">
        <x:v>2025</x:v>
      </x:c>
      <x:c r="D5" s="14" t="str">
        <x:v>Method entry from IFoA practitioner paper</x:v>
      </x:c>
      <x:c r="E5" s="14" t="str">
        <x:v>Inflation-Adjusted Chain Ladder (IACL)</x:v>
      </x:c>
      <x:c r="F5" s="14" t="str">
        <x:v>Can a triangle be put onto a common price basis before Chain Ladder and then re-inflated using forecast calendar-year inflation?</x:v>
      </x:c>
      <x:c r="G5" s="14" t="str">
        <x:v>Incremental paid-claims triangles from controlled volatile-inflation pseudo-data scenarios.</x:v>
      </x:c>
      <x:c r="H5" s="14" t="str">
        <x:v>Transform to incremental data; adjust historical cells to a common price basis; rebuild cumulative data; apply Chain Ladder; derive future increments; apply future calendar-year inflation; sum future inflated cells.</x:v>
      </x:c>
      <x:c r="I5" s="14" t="str">
        <x:v>IACL explicitly separates calendar-year inflation from development. It improves on an unadjusted approach in some rising-inflation cases but can over-reserve when a temporary spike is effectively extrapolated.</x:v>
      </x:c>
      <x:c r="J5" s="14" t="str">
        <x:v>Requires defensible historical and future inflation indices, correct cell-to-calendar-year mapping and stable development after adjustment. Results remain sensitive to the future inflation path.</x:v>
      </x:c>
      <x:c r="K5" s="14" t="str">
        <x:v>Implemented as a core classical inflation-aware model and compared with unadjusted Chain Ladder, Cashflow Uplift and ML models.</x:v>
      </x:c>
      <x:c r="L5" s="14" t="str">
        <x:v>Chapter 2 – Inflation-Aware Reserving; Chapter 3 – Model Specification</x:v>
      </x:c>
      <x:c r="M5" s="14" t="str">
        <x:v>creedon2025volatile</x:v>
      </x:c>
      <x:c r="N5" s="14" t="str">
        <x:v>Targeted review complete</x:v>
      </x:c>
      <x:c r="O5" s="14" t="str">
        <x:v>Priority: High. Method steps are on pp. 17–18. Scenario B results are on p. 22 and shock-inflation results on pp. 22–23. Document the precise base year, deflation convention and future re-inflation formula used in Python.</x:v>
      </x:c>
    </x:row>
    <x:row r="6" ht="100" customHeight="1">
      <x:c r="A6" s="14" t="str">
        <x:v>CASHFLOW2025</x:v>
      </x:c>
      <x:c r="B6" s="14" t="str">
        <x:v>Creedon, C., Bargate, E., Lenney, S., Schofield, M., &amp; Stock, R. (2025). Reserving for volatile inflation: A practitioner’s guide to setting best estimate reserves during periods of inflation volatility. Institute and Faculty of Actuaries. https://vle.actuaries.org.uk/pluginfile.php/168696/mod_resource/content/1/Reserving%20During%20Volatile%20Inflation%20v1.9.pdf</x:v>
      </x:c>
      <x:c r="C6" s="18" t="n">
        <x:v>2025</x:v>
      </x:c>
      <x:c r="D6" s="14" t="str">
        <x:v>Method entry from IFoA practitioner paper</x:v>
      </x:c>
      <x:c r="E6" s="14" t="str">
        <x:v>Cashflow Uplift reserving adjustment</x:v>
      </x:c>
      <x:c r="F6" s="14" t="str">
        <x:v>Can projected reserve cashflows be adjusted for the compounded difference between inflation implicit in the baseline reserve and the expected future inflation path?</x:v>
      </x:c>
      <x:c r="G6" s="14" t="str">
        <x:v>Baseline reserve cashflows and payment patterns applied to controlled pseudo-data scenarios.</x:v>
      </x:c>
      <x:c r="H6" s="14" t="str">
        <x:v>Produce a baseline reserve and future cashflow pattern; estimate implicit historical inflation; uplift or reduce each future cashflow for the difference between implicit and forecast inflation, compounded to its payment date.</x:v>
      </x:c>
      <x:c r="I6" s="14" t="str">
        <x:v>The method is transparent, works with existing reserving outputs and can reflect an inflation path that rises and then reverts. In the paper’s shock scenario it was closer to the simulated truth than leaving reserves unadjusted or the paper’s IACL implementation.</x:v>
      </x:c>
      <x:c r="J6" s="14" t="str">
        <x:v>Depends on the quality of the baseline reserve, payment pattern, implicit-inflation estimate and future forecast. It does not itself correct frequency change or settlement-pattern misspecification.</x:v>
      </x:c>
      <x:c r="K6" s="14" t="str">
        <x:v>Implemented as a separate classical inflation adjustment because its response to temporary inflation differs materially from IACL.</x:v>
      </x:c>
      <x:c r="L6" s="14" t="str">
        <x:v>Chapter 2 – Inflation-Aware Reserving; Chapter 3 – Model Specification</x:v>
      </x:c>
      <x:c r="M6" s="14" t="str">
        <x:v>creedon2025volatile</x:v>
      </x:c>
      <x:c r="N6" s="14" t="str">
        <x:v>Targeted review complete</x:v>
      </x:c>
      <x:c r="O6" s="14" t="str">
        <x:v>Priority: High. Method is described on pp. 16–17. Scenario B and C comparisons are on pp. 22–23. Define what inflation is already implicit in the baseline reserve and apply the uplift by origin year and payment period.</x:v>
      </x:c>
    </x:row>
    <x:row r="7" ht="100" customHeight="1">
      <x:c r="A7" s="14" t="str">
        <x:v>XOL2017</x:v>
      </x:c>
      <x:c r="B7" s="14" t="str">
        <x:v>Albrecher, H., Beirlant, J., &amp; Teugels, J. L. (2017). Reinsurance: Actuarial and statistical aspects. Wiley. https://doi.org/10.1002/9781119412540</x:v>
      </x:c>
      <x:c r="C7" s="18" t="n">
        <x:v>2017</x:v>
      </x:c>
      <x:c r="D7" s="14" t="str">
        <x:v>Actuarial reinsurance textbook</x:v>
      </x:c>
      <x:c r="E7" s="14" t="str">
        <x:v>Excess-of-Loss reinsurance mechanics and modelling</x:v>
      </x:c>
      <x:c r="F7" s="14" t="str">
        <x:v>How should reinsurance forms, layer transformations, heavy-tailed losses and pricing quantities be modelled?</x:v>
      </x:c>
      <x:c r="G7" s="14" t="str">
        <x:v>Theoretical loss distributions, actuarial examples and reinsurance applications rather than one empirical dataset.</x:v>
      </x:c>
      <x:c r="H7" s="14" t="str">
        <x:v>Per-loss and aggregate reinsurance transformations; attachment points, limits, stop-loss functions, heavy-tail models and reinsurance pricing.</x:v>
      </x:c>
      <x:c r="I7" s="14" t="str">
        <x:v>Excess-of-Loss reinsurance produces a nonlinear transformation of gross severities and concentrates sensitivity around attachment and exhaustion points.</x:v>
      </x:c>
      <x:c r="J7" s="14" t="str">
        <x:v>Broad theoretical reference rather than an empirical study of reserve accuracy under volatile inflation or structural change.</x:v>
      </x:c>
      <x:c r="K7" s="14" t="str">
        <x:v>Foundational source for the per-claim ceded-loss formula, treaty terminology and the explanation of why inflation changes layer entry and exhaustion probabilities.</x:v>
      </x:c>
      <x:c r="L7" s="14" t="str">
        <x:v>Chapter 2 – Reinsurance Literature; Chapter 3 – Treaty Mechanics</x:v>
      </x:c>
      <x:c r="M7" s="14" t="str">
        <x:v>albrecher2017reinsurance</x:v>
      </x:c>
      <x:c r="N7" s="14" t="str">
        <x:v>Metadata and abstract reviewed</x:v>
      </x:c>
      <x:c r="O7" s="14" t="str">
        <x:v>Priority: Medium. Target Chapter 2 (reinsurance forms and properties) and Chapter 7 (pricing). Extract exact pages for the layer loss function after accessing the book through the university library.</x:v>
      </x:c>
    </x:row>
    <x:row r="8" ht="100" customHeight="1">
      <x:c r="A8" s="14" t="str">
        <x:v>INDEXCLAUSE2011</x:v>
      </x:c>
      <x:c r="B8" s="14" t="str">
        <x:v>Yeung, K. C. (2011). Index clause for aggregate deductibles and limits in non-proportional reinsurance. Casualty Actuarial Society E-Forum, Spring 2011. https://www.casact.org/sites/default/files/database/forum_11spforum_yeung.pdf</x:v>
      </x:c>
      <x:c r="C8" s="18" t="n">
        <x:v>2011</x:v>
      </x:c>
      <x:c r="D8" s="14" t="str">
        <x:v>CAS E-Forum professional research paper</x:v>
      </x:c>
      <x:c r="E8" s="14" t="str">
        <x:v>Stability and indexation clauses in non-proportional reinsurance</x:v>
      </x:c>
      <x:c r="F8" s="14" t="str">
        <x:v>How should per-claim and aggregate deductibles and limits be indexed so inflation is shared consistently between cedant, reinsurer and retrocessionaire?</x:v>
      </x:c>
      <x:c r="G8" s="14" t="str">
        <x:v>Mathematical examples and numerical illustrations of indexed non-proportional reinsurance payments.</x:v>
      </x:c>
      <x:c r="H8" s="14" t="str">
        <x:v>Deflation of claim payments to a base date; calculation of indexed per-claim deductibles and limits; alternative methods for indexed annual aggregate deductibles and limits.</x:v>
      </x:c>
      <x:c r="I8" s="14" t="str">
        <x:v>Index or stability clauses preserve the intended economic sharing of an excess layer. Inconsistent indexing of deductibles, limits and aggregate features can materially alter recoveries.</x:v>
      </x:c>
      <x:c r="J8" s="14" t="str">
        <x:v>Focuses on contract mechanics and aggregate features; actual wordings vary and the paper does not compare reserving algorithms.</x:v>
      </x:c>
      <x:c r="K8" s="14" t="str">
        <x:v>Supports the no-indexation, full-indexation and simplified trigger-based clause scenarios and the consistent adjustment of attachment and limit.</x:v>
      </x:c>
      <x:c r="L8" s="14" t="str">
        <x:v>Chapter 2 – Reinsurance Indexation; Chapter 3 – Contract Scenarios</x:v>
      </x:c>
      <x:c r="M8" s="14" t="str">
        <x:v>yeung2011index</x:v>
      </x:c>
      <x:c r="N8" s="14" t="str">
        <x:v>Targeted review complete</x:v>
      </x:c>
      <x:c r="O8" s="14" t="str">
        <x:v>Priority: High. p. 1 explains the purpose of a stability clause; pp. 2–4 provide the standard calculation and worked example; pp. 6–9 formalise indexed deductible and limit; pp. 25–32 discuss practical implementation and pricing. Clearly label any threshold-trigger clause in the dissertation as a simplified experimental design unless supported by a specific wording.</x:v>
      </x:c>
    </x:row>
    <x:row r="9" ht="100" customHeight="1">
      <x:c r="A9" s="14" t="str">
        <x:v>LASSO2021</x:v>
      </x:c>
      <x:c r="B9" s="14" t="str">
        <x:v>McGuire, G., Taylor, G., &amp; Miller, H. (2021). Self-assembling insurance claim models using regularized regression and machine learning. Variance, 14(1). https://doi.org/10.66573/001c.28366</x:v>
      </x:c>
      <x:c r="C9" s="18" t="n">
        <x:v>2021</x:v>
      </x:c>
      <x:c r="D9" s="14" t="str">
        <x:v>Peer-reviewed actuarial journal article</x:v>
      </x:c>
      <x:c r="E9" s="14" t="str">
        <x:v>Regularised regression for loss reserving</x:v>
      </x:c>
      <x:c r="F9" s="14" t="str">
        <x:v>Can LASSO regularisation automate flexible reserving GLM construction while retaining interpretable actuarial structure?</x:v>
      </x:c>
      <x:c r="G9" s="14" t="str">
        <x:v>Synthetic triangular data and a real individual-claim dataset with accident, development, calendar and claim-level features.</x:v>
      </x:c>
      <x:c r="H9" s="14" t="str">
        <x:v>Penalised GLMs with L1 regularisation; large libraries of basis functions and interactions; standardisation; cross-validation for penalty selection; bootstrap approaches to prediction error.</x:v>
      </x:c>
      <x:c r="I9" s="14" t="str">
        <x:v>Regularisation can select parsimonious accident-year, development-year, calendar-year and interaction effects from a large candidate library and can identify nonlinear or changing patterns.</x:v>
      </x:c>
      <x:c r="J9" s="14" t="str">
        <x:v>Performance depends on the candidate feature library and validation design. Abrupt changes can be missed, extrapolation requires judgement and the method can be computationally intensive.</x:v>
      </x:c>
      <x:c r="K9" s="14" t="str">
        <x:v>Primary source for the regularised model’s feature library, L1 penalty, cross-validation and interpretation.</x:v>
      </x:c>
      <x:c r="L9" s="14" t="str">
        <x:v>Chapter 2 – Machine Learning in Reserving; Chapter 3 – Regularised Model</x:v>
      </x:c>
      <x:c r="M9" s="14" t="str">
        <x:v>mcguire2021selfassembling</x:v>
      </x:c>
      <x:c r="N9" s="14" t="str">
        <x:v>Targeted review complete</x:v>
      </x:c>
      <x:c r="O9" s="14" t="str">
        <x:v>Priority: High. Working-paper pp. 5–8 explain regularisation, LASSO, standardisation and k-fold cross-validation; pp. 13–26 cover feature libraries and applications; pp. 37–38 give conclusions and warn that the method is not an oracle for future inflation or settlement rates and may miss instantaneous changes.</x:v>
      </x:c>
    </x:row>
    <x:row r="10" ht="100" customHeight="1">
      <x:c r="A10" s="14" t="str">
        <x:v>NNODP2020</x:v>
      </x:c>
      <x:c r="B10" s="14" t="str">
        <x:v>Gabrielli, A., Richman, R., &amp; Wüthrich, M. V. (2020). Neural network embedding of the over-dispersed Poisson reserving model. Scandinavian Actuarial Journal, 2020(1), 1–29. https://doi.org/10.1080/03461238.2019.1633394</x:v>
      </x:c>
      <x:c r="C10" s="18" t="n">
        <x:v>2020</x:v>
      </x:c>
      <x:c r="D10" s="14" t="str">
        <x:v>Peer-reviewed actuarial journal article</x:v>
      </x:c>
      <x:c r="E10" s="14" t="str">
        <x:v>Neural-network embedding of an actuarial reserving model</x:v>
      </x:c>
      <x:c r="F10" s="14" t="str">
        <x:v>Can a neural network retain a classical over-dispersed Poisson baseline while learning additional nonlinear reserving structure?</x:v>
      </x:c>
      <x:c r="G10" s="14" t="str">
        <x:v>Run-off triangles and simulation examples used to compare the embedded neural network with the classical over-dispersed Poisson model.</x:v>
      </x:c>
      <x:c r="H10" s="14" t="str">
        <x:v>Feed-forward neural network nested around the over-dispersed Poisson structure; accident and development effects; nonlinear extensions; bootstrap assessment of prediction uncertainty.</x:v>
      </x:c>
      <x:c r="I10" s="14" t="str">
        <x:v>Embedding the actuarial model supplies a credible starting point while allowing additional structure to be learned and fitted efficiently.</x:v>
      </x:c>
      <x:c r="J10" s="14" t="str">
        <x:v>Greater complexity, architecture and optimisation sensitivity, reduced interpretability and potentially unstable extrapolation under unprecedented structural change.</x:v>
      </x:c>
      <x:c r="K10" s="14" t="str">
        <x:v>Primary source for the compact neural-network benchmark and for using an actuarial baseline rather than an unconstrained black-box model.</x:v>
      </x:c>
      <x:c r="L10" s="14" t="str">
        <x:v>Chapter 2 – Machine Learning in Reserving; Chapter 3 – Neural Network Model</x:v>
      </x:c>
      <x:c r="M10" s="14" t="str">
        <x:v>gabrielli2020neural</x:v>
      </x:c>
      <x:c r="N10" s="14" t="str">
        <x:v>Metadata and abstract reviewed</x:v>
      </x:c>
      <x:c r="O10" s="14" t="str">
        <x:v>Priority: High. Obtain the full paper through QMUL access before finalising architecture. Extract the exact ODP mean structure, network embedding, activation and bootstrap design. Keep the dissertation network deliberately small and reproducible.</x:v>
      </x:c>
    </x:row>
    <x:row r="11" ht="100" customHeight="1">
      <x:c r="A11" s="14" t="str">
        <x:v>DIAGVALID2011</x:v>
      </x:c>
      <x:c r="B11" s="14" t="str">
        <x:v>Meyers, G. G., &amp; Shi, P. (2011). The retrospective testing of stochastic loss reserve models. Casualty Actuarial Society E-Forum, Summer 2011. https://www.casact.org/sites/default/files/database/forum_11sumforum_meyers-shi.pdf</x:v>
      </x:c>
      <x:c r="C11" s="18" t="n">
        <x:v>2011</x:v>
      </x:c>
      <x:c r="D11" s="14" t="str">
        <x:v>CAS E-Forum empirical research paper</x:v>
      </x:c>
      <x:c r="E11" s="14" t="str">
        <x:v>Retrospective and diagonal validation of reserving models</x:v>
      </x:c>
      <x:c r="F11" s="14" t="str">
        <x:v>How can predictive distributions from reserving models be tested against outcomes that became observable after the original valuation date?</x:v>
      </x:c>
      <x:c r="G11" s="14" t="str">
        <x:v>NAIC Schedule P paid-loss triangles from 1997 together with subsequent observed development and posted reserves.</x:v>
      </x:c>
      <x:c r="H11" s="14" t="str">
        <x:v>Fit models using an earlier valuation triangle; predict the lower triangle; compare predictive distributions and realised outcomes using calibration diagnostics.</x:v>
      </x:c>
      <x:c r="I11" s="14" t="str">
        <x:v>Reserving models should be evaluated using genuine future observations. Retrospective tests can reveal bias and miscalibration that are hidden by in-sample fit.</x:v>
      </x:c>
      <x:c r="J11" s="14" t="str">
        <x:v>Requires mature historical outcomes and can confound model weakness with environmental change. One historical backtest does not identify performance in every future regime.</x:v>
      </x:c>
      <x:c r="K11" s="14" t="str">
        <x:v>Justifies rolling-origin or latest-diagonal validation for model and hyperparameter selection rather than random cell splitting.</x:v>
      </x:c>
      <x:c r="L11" s="14" t="str">
        <x:v>Chapter 2 – Model Validation; Chapter 3 – Validation Design; Chapter 4 – Results</x:v>
      </x:c>
      <x:c r="M11" s="14" t="str">
        <x:v>meyers2011retrospective</x:v>
      </x:c>
      <x:c r="N11" s="14" t="str">
        <x:v>Targeted review complete</x:v>
      </x:c>
      <x:c r="O11" s="14" t="str">
        <x:v>Priority: High. pp. 3–5 explain the NAIC training/outcome construction; pp. 20–33 develop predictive diagnostics and conclusions. Implement validation so that no later calendar-year cells enter training or tuning.</x:v>
      </x:c>
    </x:row>
    <x:row r="12" ht="100" customHeight="1">
      <x:c r="A12" s="14" t="str">
        <x:v>RV1998</x:v>
      </x:c>
      <x:c r="B12" s="14" t="str">
        <x:v>Renshaw, A. E., &amp; Verrall, R. J. (1998). A stochastic model underlying the Chain-Ladder technique. British Actuarial Journal, 4(4), 903–923. https://www.cambridge.org/core/journals/british-actuarial-journal/article/stochastic-model-underlying-the-chainladder-technique/B19B65A46F71596963840CF141563C86</x:v>
      </x:c>
      <x:c r="C12" s="18" t="n">
        <x:v>1998</x:v>
      </x:c>
      <x:c r="D12" s="14" t="str">
        <x:v>Peer-reviewed actuarial journal article</x:v>
      </x:c>
      <x:c r="E12" s="14" t="str">
        <x:v>Generalised linear model underlying Chain Ladder</x:v>
      </x:c>
      <x:c r="F12" s="14" t="str">
        <x:v>Can the Chain Ladder algorithm be expressed as a statistical model that permits estimation, diagnostics and extensions?</x:v>
      </x:c>
      <x:c r="G12" s="14" t="str">
        <x:v>Aggregate run-off triangle framework.</x:v>
      </x:c>
      <x:c r="H12" s="14" t="str">
        <x:v>Quasi-likelihood generalised linear model for incremental claims with accident-year and development-year effects.</x:v>
      </x:c>
      <x:c r="I12" s="14" t="str">
        <x:v>Chain Ladder can be embedded in a GLM framework; this makes its statistical structure explicit and demonstrates that the traditional model is only one narrow member of a wider model class.</x:v>
      </x:c>
      <x:c r="J12" s="14" t="str">
        <x:v>Retains an aggregate triangle structure and does not directly model calendar-year inflation, claim-level reinsurance terms or an unprecedented structural break without extensions.</x:v>
      </x:c>
      <x:c r="K12" s="14" t="str">
        <x:v>Provides the bridge from classical Chain Ladder to the over-dispersed Poisson and regularised regression formulations.</x:v>
      </x:c>
      <x:c r="L12" s="14" t="str">
        <x:v>Chapter 2 – Classical Reserving; Chapter 3 – GLM and ML Connection</x:v>
      </x:c>
      <x:c r="M12" s="14" t="str">
        <x:v>renshaw1998stochastic</x:v>
      </x:c>
      <x:c r="N12" s="14" t="str">
        <x:v>Metadata and abstract reviewed</x:v>
      </x:c>
      <x:c r="O12" s="14" t="str">
        <x:v>Priority: Medium. Official abstract and bibliographic details verified. Read pp. 903–923 before drafting the ODP/GLM subsection, focusing on the quasi-likelihood formulation and the interpretation of row and column effects.</x:v>
      </x:c>
    </x:row>
    <x:row r="13" ht="100" customHeight="1">
      <x:c r="A13" s="14" t="str">
        <x:v>EV2002</x:v>
      </x:c>
      <x:c r="B13" s="14" t="str">
        <x:v>England, P. D., &amp; Verrall, R. J. (2002). Stochastic claims reserving in general insurance. British Actuarial Journal, 8(3), 443–518. https://doi.org/10.1017/S1357321700003809</x:v>
      </x:c>
      <x:c r="C13" s="18" t="n">
        <x:v>2002</x:v>
      </x:c>
      <x:c r="D13" s="14" t="str">
        <x:v>Peer-reviewed actuarial journal survey</x:v>
      </x:c>
      <x:c r="E13" s="14" t="str">
        <x:v>Stochastic claims reserving models</x:v>
      </x:c>
      <x:c r="F13" s="14" t="str">
        <x:v>How can classical reserving techniques be placed in stochastic frameworks and extended to smoothing, tail extrapolation, Bayesian and bootstrap approaches?</x:v>
      </x:c>
      <x:c r="G13" s="14" t="str">
        <x:v>Illustrative run-off triangles and published reserving examples.</x:v>
      </x:c>
      <x:c r="H13" s="14" t="str">
        <x:v>Survey and comparison of stochastic Chain Ladder models, GLMs, parametric curves, smoothing, bootstrap methods and Bornhuetter–Ferguson within Bayesian formulations.</x:v>
      </x:c>
      <x:c r="I13" s="14" t="str">
        <x:v>Several stochastic models reproduce classical Chain Ladder point estimates while providing different variance assumptions and prediction-error mechanisms. More flexible structures permit smoothing and tail modelling.</x:v>
      </x:c>
      <x:c r="J13" s="14" t="str">
        <x:v>A broad survey rather than a focused study of claims inflation, XoL reinsurance or machine learning under structural change.</x:v>
      </x:c>
      <x:c r="K13" s="14" t="str">
        <x:v>Provides the general stochastic reserving context and terminology surrounding the selected classical benchmarks.</x:v>
      </x:c>
      <x:c r="L13" s="14" t="str">
        <x:v>Chapter 2 – Classical and Stochastic Reserving</x:v>
      </x:c>
      <x:c r="M13" s="14" t="str">
        <x:v>england2002stochastic</x:v>
      </x:c>
      <x:c r="N13" s="14" t="str">
        <x:v>Targeted review complete</x:v>
      </x:c>
      <x:c r="O13" s="14" t="str">
        <x:v>Priority: Medium. Review the paper’s Sections 2–6 when writing the literature review. Use it as a survey source, while citing primary method papers such as Mack and Renshaw–Verrall for specific formulas.</x:v>
      </x:c>
    </x:row>
    <x:row r="14" ht="100" customHeight="1">
      <x:c r="A14" s="14" t="str">
        <x:v>SYNTHETIC2021</x:v>
      </x:c>
      <x:c r="B14" s="14" t="str">
        <x:v>Avanzi, B., Taylor, G., Wang, M., &amp; Wong, B. (2021). SynthETIC: An individual insurance claim simulator with feature control. Insurance: Mathematics and Economics, 100, 296–308. https://doi.org/10.1016/j.insmatheco.2021.06.004</x:v>
      </x:c>
      <x:c r="C14" s="18" t="n">
        <x:v>2021</x:v>
      </x:c>
      <x:c r="D14" s="14" t="str">
        <x:v>Peer-reviewed actuarial journal article and open-source simulator</x:v>
      </x:c>
      <x:c r="E14" s="14" t="str">
        <x:v>Claim-level simulation with structural feature control</x:v>
      </x:c>
      <x:c r="F14" s="14" t="str">
        <x:v>How can individual claim histories be simulated with controllable occurrence, reporting, settlement, payment, inflation and discontinuity features?</x:v>
      </x:c>
      <x:c r="G14" s="14" t="str">
        <x:v>Synthetic individual claims generated from a modular simulator with user-controlled assumptions.</x:v>
      </x:c>
      <x:c r="H14" s="14" t="str">
        <x:v>Simulation of occurrence, notification, settlement, partial payments, claim size, base inflation, superimposed inflation, dependencies and discontinuities; aggregation to triangles.</x:v>
      </x:c>
      <x:c r="I14" s="14" t="str">
        <x:v>A modular claim-level simulator enables controlled experiments with realistic claim-process features and known ground truth. Inflation can act by calendar or accident period and development or settlement features can change.</x:v>
      </x:c>
      <x:c r="J14" s="14" t="str">
        <x:v>The generated data remain conditional on selected parametric assumptions. Complexity can obscure which mechanism is driving results unless scenarios are carefully isolated.</x:v>
      </x:c>
      <x:c r="K14" s="14" t="str">
        <x:v>Supports the decision to simulate claims and payments at individual level and then aggregate them, and strengthens the structural-break design.</x:v>
      </x:c>
      <x:c r="L14" s="14" t="str">
        <x:v>Chapter 2 – Simulation Literature; Chapter 3 – Data-Generating Process</x:v>
      </x:c>
      <x:c r="M14" s="14" t="str">
        <x:v>avanzi2021synthetic</x:v>
      </x:c>
      <x:c r="N14" s="14" t="str">
        <x:v>Targeted review complete</x:v>
      </x:c>
      <x:c r="O14" s="14" t="str">
        <x:v>Priority: High. Review pp. 2–8 for simulator structure and pp. 12–16 for feature controls and limitations. Cite as broader methodological support; the dissertation’s Python generator is intentionally smaller and tailored to XoL reinsurance.</x:v>
      </x:c>
    </x:row>
    <x:row r="15" ht="100" customHeight="1">
      <x:c r="A15" s="14" t="str">
        <x:v>LLOYDS2022</x:v>
      </x:c>
      <x:c r="B15" s="14" t="str">
        <x:v>Lloyd’s. (2022). Reserving guidance: Allowing for inflation. https://assets.lloyds.com/media/55a72787-8bca-4516-b508-c88fa0f05670/Reserving-Guidance-Allowing-for-Inflation.pdf</x:v>
      </x:c>
      <x:c r="C15" s="18" t="n">
        <x:v>2022</x:v>
      </x:c>
      <x:c r="D15" s="14" t="str">
        <x:v>Industry reserving guidance</x:v>
      </x:c>
      <x:c r="E15" s="14" t="str">
        <x:v>Practical allowance for claims inflation in reserves</x:v>
      </x:c>
      <x:c r="F15" s="14" t="str">
        <x:v>What should managing agents consider when quantifying historical and future claims inflation in reserve estimates?</x:v>
      </x:c>
      <x:c r="G15" s="14" t="str">
        <x:v>Industry guidance based on Lloyd’s market oversight and reserving practice rather than a single statistical dataset.</x:v>
      </x:c>
      <x:c r="H15" s="14" t="str">
        <x:v>Assessment of claims frequency and severity; identification of relevant inflation drivers; explicit allowance for inflation already emerged and inflation expected before settlement; sensitivity and scenario analysis.</x:v>
      </x:c>
      <x:c r="I15" s="14" t="str">
        <x:v>Reserves should reflect both inflation already affecting unsettled claims and forecast inflation through settlement. Analysis should distinguish frequency and severity and consider the duration and persistence of inflation shocks.</x:v>
      </x:c>
      <x:c r="J15" s="14" t="str">
        <x:v>Principles-based guidance rather than a replicable empirical model; firms must select portfolio-specific indices, assumptions and adjustments.</x:v>
      </x:c>
      <x:c r="K15" s="14" t="str">
        <x:v>Provides direct industry motivation for explicit inflation modelling, cashflow timing and scenario testing.</x:v>
      </x:c>
      <x:c r="L15" s="14" t="str">
        <x:v>Chapter 1 – Motivation; Chapter 2 – Industry Practice; Chapter 5 – Discussion</x:v>
      </x:c>
      <x:c r="M15" s="14" t="str">
        <x:v>lloyds2022inflation</x:v>
      </x:c>
      <x:c r="N15" s="14" t="str">
        <x:v>Targeted review complete</x:v>
      </x:c>
      <x:c r="O15" s="14" t="str">
        <x:v>Priority: High. pp. 2–4 contain the core guidance: separate inflation already emerged from future inflation, analyse frequency and severity, and test the severity and persistence of shocks. Use alongside the 2022 thematic review rather than as evidence of model performance.</x:v>
      </x:c>
    </x:row>
    <x:row r="16" ht="100" customHeight="1">
      <x:c r="A16" s="14" t="str">
        <x:v>WUTHRICH2018</x:v>
      </x:c>
      <x:c r="B16" s="14" t="str">
        <x:v>Wüthrich, M. V. (2018). Machine learning in individual claims reserving. Scandinavian Actuarial Journal, 2018(6), 465–480. https://doi.org/10.1080/03461238.2018.1428681</x:v>
      </x:c>
      <x:c r="C16" s="18" t="n">
        <x:v>2018</x:v>
      </x:c>
      <x:c r="D16" s="14" t="str">
        <x:v>Peer-reviewed actuarial journal article</x:v>
      </x:c>
      <x:c r="E16" s="14" t="str">
        <x:v>Machine learning on individual claim histories</x:v>
      </x:c>
      <x:c r="F16" s="14" t="str">
        <x:v>How can machine-learning techniques be used to estimate reserves from individual claim data rather than only aggregate triangles?</x:v>
      </x:c>
      <x:c r="G16" s="14" t="str">
        <x:v>An explicit individual-claims reserving example.</x:v>
      </x:c>
      <x:c r="H16" s="14" t="str">
        <x:v>Tree-based machine-learning methods applied to individual claim development and payment-count prediction, with aggregation to portfolio reserves.</x:v>
      </x:c>
      <x:c r="I16" s="14" t="str">
        <x:v>The paper demonstrates the feasibility of using granular claim information for reserving and helped establish the individual-claim ML literature.</x:v>
      </x:c>
      <x:c r="J16" s="14" t="str">
        <x:v>Individual-level methods require granular, consistent data and must still address unreported claims, censoring, extrapolation and validation. One application does not imply universal superiority over aggregate methods.</x:v>
      </x:c>
      <x:c r="K16" s="14" t="str">
        <x:v>Provides broader ML context and supports retaining claim-level information before triangle aggregation.</x:v>
      </x:c>
      <x:c r="L16" s="14" t="str">
        <x:v>Chapter 2 – Individual-Claim and Machine-Learning Reserving</x:v>
      </x:c>
      <x:c r="M16" s="14" t="str">
        <x:v>wuthrich2018machine</x:v>
      </x:c>
      <x:c r="N16" s="14" t="str">
        <x:v>Metadata and abstract reviewed</x:v>
      </x:c>
      <x:c r="O16" s="14" t="str">
        <x:v>Priority: Medium. Obtain the full paper through QMUL access before relying on method details. Use mainly to position the dissertation within the development of granular reserving; the implemented ML models remain triangle/cell based unless the final design is changed.</x:v>
      </x:c>
    </x:row>
    <x:row r="17" ht="100" customHeight="1">
      <x:c r="A17" s="14" t="str">
        <x:v>PRA2023</x:v>
      </x:c>
      <x:c r="B17" s="14" t="str">
        <x:v>Prudential Regulation Authority. (2023). Follow up to the letter: Insights from PRA thematic review of general insurance reserving and capital modelling. Bank of England. https://www.bankofengland.co.uk/-/media/boe/files/prudential-regulation/letter/2023/june/insights-from-thematic-review.pdf</x:v>
      </x:c>
      <x:c r="C17" s="18" t="n">
        <x:v>2023</x:v>
      </x:c>
      <x:c r="D17" s="14" t="str">
        <x:v>Regulatory thematic-review letter</x:v>
      </x:c>
      <x:c r="E17" s="14" t="str">
        <x:v>Claims inflation in reserving, capital and governance</x:v>
      </x:c>
      <x:c r="F17" s="14" t="str">
        <x:v>What weaknesses and good practices did the PRA observe in firms’ treatment of claims inflation in technical provisions, capital models and governance?</x:v>
      </x:c>
      <x:c r="G17" s="14" t="str">
        <x:v>Cross-firm thematic review of UK general insurers, including personal, commercial and London-market business.</x:v>
      </x:c>
      <x:c r="H17" s="14" t="str">
        <x:v>Supervisory review of reserve strengthening, inflation assumptions, reinsurance effects, internal models, scenario testing, governance and communication across functions.</x:v>
      </x:c>
      <x:c r="I17" s="14" t="str">
        <x:v>Persistently elevated claims inflation can affect reserves, own funds and capital simultaneously. Longer-tailed lines may show delayed emergence, and firms should monitor drivers, assumptions, reinsurance basis risk and tail scenarios.</x:v>
      </x:c>
      <x:c r="J17" s="14" t="str">
        <x:v>Supervisory observations are not a controlled statistical experiment and reported market averages should not be transferred directly to the simulated portfolio.</x:v>
      </x:c>
      <x:c r="K17" s="14" t="str">
        <x:v>Provides regulatory motivation and supports sensitivity testing, long-tail emphasis, reinsurance basis-risk discussion and governance implications.</x:v>
      </x:c>
      <x:c r="L17" s="14" t="str">
        <x:v>Chapter 1 – Motivation; Chapter 2 – Regulatory Context; Chapter 5 – Discussion</x:v>
      </x:c>
      <x:c r="M17" s="14" t="str">
        <x:v>pra2023claimsinflation</x:v>
      </x:c>
      <x:c r="N17" s="14" t="str">
        <x:v>Targeted review complete</x:v>
      </x:c>
      <x:c r="O17" s="14" t="str">
        <x:v>Priority: Medium. Review pp. 1–8 for reserve and capital concerns and pp. 13–15 for methodology, reinsurance and internal-model observations. Use for motivation and discussion, not for calibrating simulation parameters.</x:v>
      </x:c>
    </x:row>
  </x:sheetData>
  <x:conditionalFormatting sqref="N2:N200">
    <x:cfRule type="expression" dxfId="0" priority="1">
      <x:formula>N2="Targeted review complete"</x:formula>
    </x:cfRule>
    <x:cfRule type="expression" dxfId="1" priority="2">
      <x:formula>N2="Metadata and abstract reviewed"</x:formula>
    </x:cfRule>
    <x:cfRule type="expression" dxfId="2" priority="3">
      <x:formula>N2="Full paper read"</x:formula>
    </x:cfRule>
    <x:cfRule type="expression" dxfId="3" priority="4">
      <x:formula>N2="Cited in draft"</x:formula>
    </x:cfRule>
  </x:conditionalFormatting>
  <x:dataValidations count="1">
    <x:dataValidation type="list" sqref="N2:N200">
      <x:formula1>"To read,Metadata and abstract reviewed,Targeted review complete,Full paper read,Cited in draft"</x:formula1>
    </x:dataValidation>
  </x:dataValidations>
  <x:pageMargins left="0.7" right="0.7" top="0.75" bottom="0.75" header="0.3" footer="0.3"/>
  <x:tableParts count="1">
    <x:tablePart xmlns:r="http://schemas.openxmlformats.org/officeDocument/2006/relationships" r:id="R7ff098d6758a409a"/>
  </x:tableParts>
</x:worksheet>
</file>

<file path=xl/worksheets/sheet3.xml><?xml version="1.0" encoding="utf-8"?>
<x:worksheet xmlns:x="http://schemas.openxmlformats.org/spreadsheetml/2006/main">
  <x:sheetFormatPr defaultRowHeight="15"/>
  <x:cols>
    <x:col min="1" max="1" width="17" hidden="0" customWidth="1"/>
    <x:col min="2" max="2" width="12" hidden="0" customWidth="1"/>
    <x:col min="3" max="3" width="23" hidden="0" customWidth="1"/>
    <x:col min="4" max="4" width="29" hidden="0" customWidth="1"/>
    <x:col min="5" max="5" width="58" hidden="0" customWidth="1"/>
    <x:col min="6" max="6" width="24" hidden="0" customWidth="1"/>
    <x:col min="7" max="7" width="28" hidden="0" customWidth="1"/>
  </x:cols>
  <x:sheetData>
    <x:row r="1" ht="32" customHeight="1">
      <x:c r="A1" s="24" t="str">
        <x:v>reference_id</x:v>
      </x:c>
      <x:c r="B1" s="24" t="str">
        <x:v>priority</x:v>
      </x:c>
      <x:c r="C1" s="24" t="str">
        <x:v>primary_theme</x:v>
      </x:c>
      <x:c r="D1" s="24" t="str">
        <x:v>verified_pages_or_sections</x:v>
      </x:c>
      <x:c r="E1" s="24" t="str">
        <x:v>next_action</x:v>
      </x:c>
      <x:c r="F1" s="24" t="str">
        <x:v>target_chapter</x:v>
      </x:c>
      <x:c r="G1" s="24" t="str">
        <x:v>status</x:v>
      </x:c>
    </x:row>
    <x:row r="2" ht="60" customHeight="1">
      <x:c r="A2" s="14" t="str">
        <x:v>CIPD2024</x:v>
      </x:c>
      <x:c r="B2" s="14" t="str">
        <x:v>High</x:v>
      </x:c>
      <x:c r="C2" s="14" t="str">
        <x:v>Claims inflation</x:v>
      </x:c>
      <x:c r="D2" s="14" t="str">
        <x:v>pp. 10–14, 40–41</x:v>
      </x:c>
      <x:c r="E2" s="14" t="str">
        <x:v>Insert exact pseudo-data citations into Chapter 3 and distinguish source assumptions from dissertation assumptions.</x:v>
      </x:c>
      <x:c r="F2" s="14" t="str">
        <x:v>Chapter 3</x:v>
      </x:c>
      <x:c r="G2" s="14" t="str">
        <x:v>Targeted review complete</x:v>
      </x:c>
    </x:row>
    <x:row r="3" ht="60" customHeight="1">
      <x:c r="A3" s="14" t="str">
        <x:v>RVI2025</x:v>
      </x:c>
      <x:c r="B3" s="14" t="str">
        <x:v>High</x:v>
      </x:c>
      <x:c r="C3" s="14" t="str">
        <x:v>Claims inflation</x:v>
      </x:c>
      <x:c r="D3" s="14" t="str">
        <x:v>pp. 10–18, 20–26, 38–39</x:v>
      </x:c>
      <x:c r="E3" s="14" t="str">
        <x:v>Draft the volatile-inflation literature subsection and model-comparison rationale.</x:v>
      </x:c>
      <x:c r="F3" s="14" t="str">
        <x:v>Chapters 2–3</x:v>
      </x:c>
      <x:c r="G3" s="14" t="str">
        <x:v>Targeted review complete</x:v>
      </x:c>
    </x:row>
    <x:row r="4" ht="60" customHeight="1">
      <x:c r="A4" s="14" t="str">
        <x:v>MACK1993</x:v>
      </x:c>
      <x:c r="B4" s="14" t="str">
        <x:v>High</x:v>
      </x:c>
      <x:c r="C4" s="14" t="str">
        <x:v>Classical reserving</x:v>
      </x:c>
      <x:c r="D4" s="14" t="str">
        <x:v>article pp. 214–216, 224</x:v>
      </x:c>
      <x:c r="E4" s="14" t="str">
        <x:v>Write the Chain Ladder assumptions and structural-change limitation.</x:v>
      </x:c>
      <x:c r="F4" s="14" t="str">
        <x:v>Chapters 2–3</x:v>
      </x:c>
      <x:c r="G4" s="14" t="str">
        <x:v>Targeted review complete</x:v>
      </x:c>
    </x:row>
    <x:row r="5" ht="60" customHeight="1">
      <x:c r="A5" s="14" t="str">
        <x:v>IACL2025</x:v>
      </x:c>
      <x:c r="B5" s="14" t="str">
        <x:v>High</x:v>
      </x:c>
      <x:c r="C5" s="14" t="str">
        <x:v>Claims inflation</x:v>
      </x:c>
      <x:c r="D5" s="14" t="str">
        <x:v>pp. 17–18, 22–23</x:v>
      </x:c>
      <x:c r="E5" s="14" t="str">
        <x:v>Write the exact IACL algorithm and unit-test its calendar-year mapping.</x:v>
      </x:c>
      <x:c r="F5" s="14" t="str">
        <x:v>Chapter 3</x:v>
      </x:c>
      <x:c r="G5" s="14" t="str">
        <x:v>Targeted review complete</x:v>
      </x:c>
    </x:row>
    <x:row r="6" ht="60" customHeight="1">
      <x:c r="A6" s="14" t="str">
        <x:v>CASHFLOW2025</x:v>
      </x:c>
      <x:c r="B6" s="14" t="str">
        <x:v>High</x:v>
      </x:c>
      <x:c r="C6" s="14" t="str">
        <x:v>Claims inflation</x:v>
      </x:c>
      <x:c r="D6" s="14" t="str">
        <x:v>pp. 16–17, 22–23</x:v>
      </x:c>
      <x:c r="E6" s="14" t="str">
        <x:v>Define implicit inflation and code the origin-year/payment-period uplift.</x:v>
      </x:c>
      <x:c r="F6" s="14" t="str">
        <x:v>Chapter 3</x:v>
      </x:c>
      <x:c r="G6" s="14" t="str">
        <x:v>Targeted review complete</x:v>
      </x:c>
    </x:row>
    <x:row r="7" ht="60" customHeight="1">
      <x:c r="A7" s="14" t="str">
        <x:v>XOL2017</x:v>
      </x:c>
      <x:c r="B7" s="14" t="str">
        <x:v>Medium</x:v>
      </x:c>
      <x:c r="C7" s="14" t="str">
        <x:v>Reinsurance</x:v>
      </x:c>
      <x:c r="D7" s="14" t="str">
        <x:v>Book Chapters 2 and 7</x:v>
      </x:c>
      <x:c r="E7" s="14" t="str">
        <x:v>Extract the layer loss formula and terminology through QMUL library access.</x:v>
      </x:c>
      <x:c r="F7" s="14" t="str">
        <x:v>Chapters 2–3</x:v>
      </x:c>
      <x:c r="G7" s="14" t="str">
        <x:v>Metadata and abstract reviewed</x:v>
      </x:c>
    </x:row>
    <x:row r="8" ht="60" customHeight="1">
      <x:c r="A8" s="14" t="str">
        <x:v>INDEXCLAUSE2011</x:v>
      </x:c>
      <x:c r="B8" s="14" t="str">
        <x:v>High</x:v>
      </x:c>
      <x:c r="C8" s="14" t="str">
        <x:v>Reinsurance</x:v>
      </x:c>
      <x:c r="D8" s="14" t="str">
        <x:v>pp. 1–9, 25–32</x:v>
      </x:c>
      <x:c r="E8" s="14" t="str">
        <x:v>Freeze the indexation formula, base date, index and treatment of the treaty limit.</x:v>
      </x:c>
      <x:c r="F8" s="14" t="str">
        <x:v>Chapters 2–3</x:v>
      </x:c>
      <x:c r="G8" s="14" t="str">
        <x:v>Targeted review complete</x:v>
      </x:c>
    </x:row>
    <x:row r="9" ht="60" customHeight="1">
      <x:c r="A9" s="14" t="str">
        <x:v>LASSO2021</x:v>
      </x:c>
      <x:c r="B9" s="14" t="str">
        <x:v>High</x:v>
      </x:c>
      <x:c r="C9" s="14" t="str">
        <x:v>ML reserving</x:v>
      </x:c>
      <x:c r="D9" s="14" t="str">
        <x:v>working-paper pp. 5–8, 13–26, 37–38</x:v>
      </x:c>
      <x:c r="E9" s="14" t="str">
        <x:v>Freeze the candidate feature library and time-respecting validation rule.</x:v>
      </x:c>
      <x:c r="F9" s="14" t="str">
        <x:v>Chapters 2–3</x:v>
      </x:c>
      <x:c r="G9" s="14" t="str">
        <x:v>Targeted review complete</x:v>
      </x:c>
    </x:row>
    <x:row r="10" ht="60" customHeight="1">
      <x:c r="A10" s="14" t="str">
        <x:v>NNODP2020</x:v>
      </x:c>
      <x:c r="B10" s="14" t="str">
        <x:v>High</x:v>
      </x:c>
      <x:c r="C10" s="14" t="str">
        <x:v>ML reserving</x:v>
      </x:c>
      <x:c r="D10" s="14" t="str">
        <x:v>Full paper required</x:v>
      </x:c>
      <x:c r="E10" s="14" t="str">
        <x:v>Obtain full paper and select the smallest defensible embedded-network architecture.</x:v>
      </x:c>
      <x:c r="F10" s="14" t="str">
        <x:v>Chapters 2–3</x:v>
      </x:c>
      <x:c r="G10" s="14" t="str">
        <x:v>Metadata and abstract reviewed</x:v>
      </x:c>
    </x:row>
    <x:row r="11" ht="60" customHeight="1">
      <x:c r="A11" s="14" t="str">
        <x:v>DIAGVALID2011</x:v>
      </x:c>
      <x:c r="B11" s="14" t="str">
        <x:v>High</x:v>
      </x:c>
      <x:c r="C11" s="14" t="str">
        <x:v>Validation</x:v>
      </x:c>
      <x:c r="D11" s="14" t="str">
        <x:v>pp. 3–5, 20–33</x:v>
      </x:c>
      <x:c r="E11" s="14" t="str">
        <x:v>Implement rolling-origin/latest-diagonal validation and document leakage controls.</x:v>
      </x:c>
      <x:c r="F11" s="14" t="str">
        <x:v>Chapters 3–4</x:v>
      </x:c>
      <x:c r="G11" s="14" t="str">
        <x:v>Targeted review complete</x:v>
      </x:c>
    </x:row>
    <x:row r="12" ht="60" customHeight="1">
      <x:c r="A12" s="14" t="str">
        <x:v>RV1998</x:v>
      </x:c>
      <x:c r="B12" s="14" t="str">
        <x:v>Medium</x:v>
      </x:c>
      <x:c r="C12" s="14" t="str">
        <x:v>Classical reserving</x:v>
      </x:c>
      <x:c r="D12" s="14" t="str">
        <x:v>pp. 903–923</x:v>
      </x:c>
      <x:c r="E12" s="14" t="str">
        <x:v>Read the GLM derivation and connect Chain Ladder with the ODP/regularised models.</x:v>
      </x:c>
      <x:c r="F12" s="14" t="str">
        <x:v>Chapters 2–3</x:v>
      </x:c>
      <x:c r="G12" s="14" t="str">
        <x:v>Metadata and abstract reviewed</x:v>
      </x:c>
    </x:row>
    <x:row r="13" ht="60" customHeight="1">
      <x:c r="A13" s="14" t="str">
        <x:v>EV2002</x:v>
      </x:c>
      <x:c r="B13" s="14" t="str">
        <x:v>Medium</x:v>
      </x:c>
      <x:c r="C13" s="14" t="str">
        <x:v>Classical reserving</x:v>
      </x:c>
      <x:c r="D13" s="14" t="str">
        <x:v>Sections 2–6</x:v>
      </x:c>
      <x:c r="E13" s="14" t="str">
        <x:v>Use as the overview source for stochastic reserving families.</x:v>
      </x:c>
      <x:c r="F13" s="14" t="str">
        <x:v>Chapter 2</x:v>
      </x:c>
      <x:c r="G13" s="14" t="str">
        <x:v>Targeted review complete</x:v>
      </x:c>
    </x:row>
    <x:row r="14" ht="60" customHeight="1">
      <x:c r="A14" s="14" t="str">
        <x:v>SYNTHETIC2021</x:v>
      </x:c>
      <x:c r="B14" s="14" t="str">
        <x:v>High</x:v>
      </x:c>
      <x:c r="C14" s="14" t="str">
        <x:v>Simulation</x:v>
      </x:c>
      <x:c r="D14" s="14" t="str">
        <x:v>pp. 2–8, 12–16</x:v>
      </x:c>
      <x:c r="E14" s="14" t="str">
        <x:v>Cite the claim-level simulation and structural-feature rationale.</x:v>
      </x:c>
      <x:c r="F14" s="14" t="str">
        <x:v>Chapters 2–3</x:v>
      </x:c>
      <x:c r="G14" s="14" t="str">
        <x:v>Targeted review complete</x:v>
      </x:c>
    </x:row>
    <x:row r="15" ht="60" customHeight="1">
      <x:c r="A15" s="14" t="str">
        <x:v>LLOYDS2022</x:v>
      </x:c>
      <x:c r="B15" s="14" t="str">
        <x:v>High</x:v>
      </x:c>
      <x:c r="C15" s="14" t="str">
        <x:v>Claims inflation</x:v>
      </x:c>
      <x:c r="D15" s="14" t="str">
        <x:v>pp. 2–4</x:v>
      </x:c>
      <x:c r="E15" s="14" t="str">
        <x:v>Add industry-practice motivation and link inflation to payment timing.</x:v>
      </x:c>
      <x:c r="F15" s="14" t="str">
        <x:v>Chapters 1–2</x:v>
      </x:c>
      <x:c r="G15" s="14" t="str">
        <x:v>Targeted review complete</x:v>
      </x:c>
    </x:row>
    <x:row r="16" ht="60" customHeight="1">
      <x:c r="A16" s="14" t="str">
        <x:v>WUTHRICH2018</x:v>
      </x:c>
      <x:c r="B16" s="14" t="str">
        <x:v>Medium</x:v>
      </x:c>
      <x:c r="C16" s="14" t="str">
        <x:v>ML reserving</x:v>
      </x:c>
      <x:c r="D16" s="14" t="str">
        <x:v>Full paper required</x:v>
      </x:c>
      <x:c r="E16" s="14" t="str">
        <x:v>Use for granular-reserving context after obtaining the full text.</x:v>
      </x:c>
      <x:c r="F16" s="14" t="str">
        <x:v>Chapter 2</x:v>
      </x:c>
      <x:c r="G16" s="14" t="str">
        <x:v>Metadata and abstract reviewed</x:v>
      </x:c>
    </x:row>
    <x:row r="17" ht="60" customHeight="1">
      <x:c r="A17" s="14" t="str">
        <x:v>PRA2023</x:v>
      </x:c>
      <x:c r="B17" s="14" t="str">
        <x:v>Medium</x:v>
      </x:c>
      <x:c r="C17" s="14" t="str">
        <x:v>Claims inflation</x:v>
      </x:c>
      <x:c r="D17" s="14" t="str">
        <x:v>pp. 1–8, 13–15</x:v>
      </x:c>
      <x:c r="E17" s="14" t="str">
        <x:v>Add regulatory motivation and discuss reinsurance basis risk and capital effects.</x:v>
      </x:c>
      <x:c r="F17" s="14" t="str">
        <x:v>Chapters 1–2, 5</x:v>
      </x:c>
      <x:c r="G17" s="14" t="str">
        <x:v>Targeted review complete</x:v>
      </x:c>
    </x:row>
  </x:sheetData>
  <x:conditionalFormatting sqref="B2:B200">
    <x:cfRule type="expression" dxfId="4" priority="1">
      <x:formula>B2="High"</x:formula>
    </x:cfRule>
    <x:cfRule type="expression" dxfId="5" priority="2">
      <x:formula>B2="Medium"</x:formula>
    </x:cfRule>
    <x:cfRule type="expression" dxfId="6" priority="3">
      <x:formula>B2="Low"</x:formula>
    </x:cfRule>
  </x:conditionalFormatting>
  <x:dataValidations count="2">
    <x:dataValidation type="list" sqref="B2:B200">
      <x:formula1>"High,Medium,Low"</x:formula1>
    </x:dataValidation>
    <x:dataValidation type="list" sqref="G2:G200">
      <x:formula1>"To read,Metadata and abstract reviewed,Targeted review complete,Full paper read,Cited in draft"</x:formula1>
    </x:dataValidation>
  </x:dataValidations>
  <x:pageMargins left="0.7" right="0.7" top="0.75" bottom="0.75" header="0.3" footer="0.3"/>
  <x:tableParts count="1">
    <x:tablePart xmlns:r="http://schemas.openxmlformats.org/officeDocument/2006/relationships" r:id="R646ab6ea0c604fe4"/>
  </x:tableParts>
</x:worksheet>
</file>

<file path=xl/worksheets/sheet4.xml><?xml version="1.0" encoding="utf-8"?>
<x:worksheet xmlns:x="http://schemas.openxmlformats.org/spreadsheetml/2006/main">
  <x:sheetFormatPr defaultRowHeight="15"/>
  <x:cols>
    <x:col min="1" max="1" width="31" hidden="0" customWidth="1"/>
    <x:col min="2" max="2" width="115" hidden="0" customWidth="1"/>
  </x:cols>
  <x:sheetData>
    <x:row r="1" ht="28" customHeight="1">
      <x:c r="A1" s="31" t="str">
        <x:v>bibtex_key</x:v>
      </x:c>
      <x:c r="B1" s="31" t="str">
        <x:v>bibtex_entry</x:v>
      </x:c>
    </x:row>
    <x:row r="2" ht="105" customHeight="1">
      <x:c r="A2" s="36" t="str">
        <x:v>creedon2024claims</x:v>
      </x:c>
      <x:c r="B2" s="36" t="str">
        <x:v>@techreport{creedon2024claims,
  author      = {Creedon, Cian and Bargate, Erin and Lenney, Shane and Schofield, Marcus and Stock, Richard},
  title       = {Claims Inflation Estimation: A Practical Guide for Historical Data},
  institution = {Institute and Faculty of Actuaries},
  year        = {2024},
  url         = {https://actuaries.org.uk/media/3i0fik1e/claims-inflation-estimation-a-practical-guide-for-historical-data.pdf}
}</x:v>
      </x:c>
    </x:row>
    <x:row r="3" ht="105" customHeight="1">
      <x:c r="A3" s="36" t="str">
        <x:v>creedon2025volatile</x:v>
      </x:c>
      <x:c r="B3" s="36" t="str">
        <x:v>@techreport{creedon2025volatile,
  author      = {Creedon, Cian and Bargate, Erin and Lenney, Shane and Schofield, Marcus and Stock, Richard},
  title       = {Reserving for Volatile Inflation: A Practitioner's Guide to Setting Best Estimate Reserves During Periods of Inflation Volatility},
  institution = {Institute and Faculty of Actuaries},
  year        = {2025},
  url         = {https://vle.actuaries.org.uk/pluginfile.php/168696/mod_resource/content/1/Reserving%20During%20Volatile%20Inflation%20v1.9.pdf}
}</x:v>
      </x:c>
    </x:row>
    <x:row r="4" ht="105" customHeight="1">
      <x:c r="A4" s="36" t="str">
        <x:v>mack1993distributionfree</x:v>
      </x:c>
      <x:c r="B4" s="36" t="str">
        <x:v>@article{mack1993distributionfree,
  author  = {Mack, Thomas},
  title   = {Distribution-Free Calculation of the Standard Error of Chain Ladder Reserve Estimates},
  journal = {ASTIN Bulletin},
  year    = {1993},
  volume  = {23},
  number  = {2},
  pages   = {213--225},
  doi     = {10.2143/AST.23.2.2005092}
}</x:v>
      </x:c>
    </x:row>
    <x:row r="5" ht="105" customHeight="1">
      <x:c r="A5" s="36" t="str">
        <x:v>albrecher2017reinsurance</x:v>
      </x:c>
      <x:c r="B5" s="36" t="str">
        <x:v>@book{albrecher2017reinsurance,
  author    = {Albrecher, Hansj{\"o}rg and Beirlant, Jan and Teugels, Jozef L.},
  title     = {Reinsurance: Actuarial and Statistical Aspects},
  publisher = {Wiley},
  year      = {2017},
  doi       = {10.1002/9781119412540}
}</x:v>
      </x:c>
    </x:row>
    <x:row r="6" ht="105" customHeight="1">
      <x:c r="A6" s="36" t="str">
        <x:v>yeung2011index</x:v>
      </x:c>
      <x:c r="B6" s="36" t="str">
        <x:v>@article{yeung2011index,
  author  = {Yeung, Ka Chun},
  title   = {Index Clause for Aggregate Deductibles and Limits in Non-Proportional Reinsurance},
  journal = {Casualty Actuarial Society E-Forum},
  year    = {2011},
  note    = {Spring 2011},
  url     = {https://www.casact.org/sites/default/files/database/forum_11spforum_yeung.pdf}
}</x:v>
      </x:c>
    </x:row>
    <x:row r="7" ht="105" customHeight="1">
      <x:c r="A7" s="36" t="str">
        <x:v>mcguire2021selfassembling</x:v>
      </x:c>
      <x:c r="B7" s="36" t="str">
        <x:v>@article{mcguire2021selfassembling,
  author  = {McGuire, Gr{\'a}inne and Taylor, Greg and Miller, Hugh},
  title   = {Self-Assembling Insurance Claim Models Using Regularized Regression and Machine Learning},
  journal = {Variance},
  year    = {2021},
  volume  = {14},
  number  = {1},
  doi     = {10.66573/001c.28366}
}</x:v>
      </x:c>
    </x:row>
    <x:row r="8" ht="105" customHeight="1">
      <x:c r="A8" s="36" t="str">
        <x:v>gabrielli2020neural</x:v>
      </x:c>
      <x:c r="B8" s="36" t="str">
        <x:v>@article{gabrielli2020neural,
  author  = {Gabrielli, Andrea and Richman, Ronald and W{\"u}thrich, Mario V.},
  title   = {Neural Network Embedding of the Over-Dispersed Poisson Reserving Model},
  journal = {Scandinavian Actuarial Journal},
  year    = {2020},
  number  = {1},
  pages   = {1--29},
  doi     = {10.1080/03461238.2019.1633394}
}</x:v>
      </x:c>
    </x:row>
    <x:row r="9" ht="105" customHeight="1">
      <x:c r="A9" s="36" t="str">
        <x:v>meyers2011retrospective</x:v>
      </x:c>
      <x:c r="B9" s="36" t="str">
        <x:v>@article{meyers2011retrospective,
  author  = {Meyers, Glenn G. and Shi, Peng},
  title   = {The Retrospective Testing of Stochastic Loss Reserve Models},
  journal = {Casualty Actuarial Society E-Forum},
  year    = {2011},
  note    = {Summer 2011},
  url     = {https://www.casact.org/sites/default/files/database/forum_11sumforum_meyers-shi.pdf}
}</x:v>
      </x:c>
    </x:row>
    <x:row r="10" ht="105" customHeight="1">
      <x:c r="A10" s="36" t="str">
        <x:v>renshaw1998stochastic</x:v>
      </x:c>
      <x:c r="B10" s="36" t="str">
        <x:v>@article{renshaw1998stochastic,
  author  = {Renshaw, Arthur E. and Verrall, Richard J.},
  title   = {A Stochastic Model Underlying the Chain-Ladder Technique},
  journal = {British Actuarial Journal},
  year    = {1998},
  volume  = {4},
  number  = {4},
  pages   = {903--923}
}</x:v>
      </x:c>
    </x:row>
    <x:row r="11" ht="105" customHeight="1">
      <x:c r="A11" s="36" t="str">
        <x:v>england2002stochastic</x:v>
      </x:c>
      <x:c r="B11" s="36" t="str">
        <x:v>@article{england2002stochastic,
  author  = {England, Peter D. and Verrall, Richard J.},
  title   = {Stochastic Claims Reserving in General Insurance},
  journal = {British Actuarial Journal},
  year    = {2002},
  volume  = {8},
  number  = {3},
  pages   = {443--518},
  doi     = {10.1017/S1357321700003809}
}</x:v>
      </x:c>
    </x:row>
    <x:row r="12" ht="105" customHeight="1">
      <x:c r="A12" s="36" t="str">
        <x:v>avanzi2021synthetic</x:v>
      </x:c>
      <x:c r="B12" s="36" t="str">
        <x:v>@article{avanzi2021synthetic,
  author  = {Avanzi, Benjamin and Taylor, Greg and Wang, Melantha and Wong, Bernard},
  title   = {SynthETIC: An Individual Insurance Claim Simulator with Feature Control},
  journal = {Insurance: Mathematics and Economics},
  year    = {2021},
  volume  = {100},
  pages   = {296--308},
  doi     = {10.1016/j.insmatheco.2021.06.004}
}</x:v>
      </x:c>
    </x:row>
    <x:row r="13" ht="105" customHeight="1">
      <x:c r="A13" s="36" t="str">
        <x:v>lloyds2022inflation</x:v>
      </x:c>
      <x:c r="B13" s="36" t="str">
        <x:v>@techreport{lloyds2022inflation,
  author      = {{Lloyd's}},
  title       = {Reserving Guidance: Allowing for Inflation},
  institution = {Lloyd's},
  year        = {2022},
  url         = {https://assets.lloyds.com/media/55a72787-8bca-4516-b508-c88fa0f05670/Reserving-Guidance-Allowing-for-Inflation.pdf}
}</x:v>
      </x:c>
    </x:row>
    <x:row r="14" ht="105" customHeight="1">
      <x:c r="A14" s="36" t="str">
        <x:v>wuthrich2018machine</x:v>
      </x:c>
      <x:c r="B14" s="36" t="str">
        <x:v>@article{wuthrich2018machine,
  author  = {W{\"u}thrich, Mario V.},
  title   = {Machine Learning in Individual Claims Reserving},
  journal = {Scandinavian Actuarial Journal},
  year    = {2018},
  number  = {6},
  pages   = {465--480},
  doi     = {10.1080/03461238.2018.1428681}
}</x:v>
      </x:c>
    </x:row>
    <x:row r="15" ht="105" customHeight="1">
      <x:c r="A15" s="36" t="str">
        <x:v>pra2023claimsinflation</x:v>
      </x:c>
      <x:c r="B15" s="36" t="str">
        <x:v>@techreport{pra2023claimsinflation,
  author      = {{Prudential Regulation Authority}},
  title       = {Follow Up to the Letter: Insights from PRA Thematic Review of General Insurance Reserving and Capital Modelling},
  institution = {Bank of England},
  year        = {2023},
  url         = {https://www.bankofengland.co.uk/-/media/boe/files/prudential-regulation/letter/2023/june/insights-from-thematic-review.pdf}
}</x:v>
      </x:c>
    </x:row>
  </x:sheetData>
  <x:pageMargins left="0.7" right="0.7" top="0.75" bottom="0.75" header="0.3" footer="0.3"/>
  <x:tableParts count="1">
    <x:tablePart xmlns:r="http://schemas.openxmlformats.org/officeDocument/2006/relationships" r:id="Re0078652b2f64ef2"/>
  </x:tableParts>
</x:worksheet>
</file>